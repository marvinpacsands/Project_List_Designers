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List - Designers" sheetId="1" r:id="rId4"/>
    <sheet state="visible" name="Copy of Project List - Designer" sheetId="2" r:id="rId5"/>
    <sheet state="visible" name="Designer Emails" sheetId="3" r:id="rId6"/>
    <sheet state="visible" name="Phase Colors" sheetId="4" r:id="rId7"/>
  </sheets>
  <definedNames/>
  <calcPr/>
</workbook>
</file>

<file path=xl/sharedStrings.xml><?xml version="1.0" encoding="utf-8"?>
<sst xmlns="http://schemas.openxmlformats.org/spreadsheetml/2006/main" count="5360" uniqueCount="142">
  <si>
    <t>PM</t>
  </si>
  <si>
    <t>Operational</t>
  </si>
  <si>
    <t>PM to Set Priority</t>
  </si>
  <si>
    <t>PM notes</t>
  </si>
  <si>
    <t>Operational notes</t>
  </si>
  <si>
    <t>DESIGNER1</t>
  </si>
  <si>
    <t>DESIGNER2</t>
  </si>
  <si>
    <t>DESIGNER3</t>
  </si>
  <si>
    <t>Prioraty - DESIGNER1</t>
  </si>
  <si>
    <t>Prioraty - DESIGNER2</t>
  </si>
  <si>
    <t>Prioraty - DESIGNER3</t>
  </si>
  <si>
    <t>Notes - DESIGNER1</t>
  </si>
  <si>
    <t>Notes - DESIGNER2</t>
  </si>
  <si>
    <t>Notes - DESIGNER3</t>
  </si>
  <si>
    <t>Date - DESIGNER1</t>
  </si>
  <si>
    <t>Date - DESIGNER2</t>
  </si>
  <si>
    <t>Date - DESIGNER3</t>
  </si>
  <si>
    <t>Date - PM to Set Priority</t>
  </si>
  <si>
    <t>Date - PM notes</t>
  </si>
  <si>
    <t>Date - Operational</t>
  </si>
  <si>
    <t>Francesca Carrion</t>
  </si>
  <si>
    <t>Marvin Qaqos</t>
  </si>
  <si>
    <t>marvaddi</t>
  </si>
  <si>
    <t>Khyati Patel</t>
  </si>
  <si>
    <t>Completed</t>
  </si>
  <si>
    <t>Jasmine Guzman</t>
  </si>
  <si>
    <t>Keval Patel</t>
  </si>
  <si>
    <t>Medium</t>
  </si>
  <si>
    <t>on my list</t>
  </si>
  <si>
    <t>this is on the list</t>
  </si>
  <si>
    <t xml:space="preserve">roger that </t>
  </si>
  <si>
    <t>Bryn Bennett,Francesca Carrion,Marvin Qaqos</t>
  </si>
  <si>
    <t>Daniela Castillo</t>
  </si>
  <si>
    <t>Amiziah Vaughn</t>
  </si>
  <si>
    <t>Bryn Bennett</t>
  </si>
  <si>
    <t>Arely Padilla</t>
  </si>
  <si>
    <t>Victoria Payne</t>
  </si>
  <si>
    <t>Low</t>
  </si>
  <si>
    <t>Francesca Carrion,marvaddi</t>
  </si>
  <si>
    <t>Samad Poptani</t>
  </si>
  <si>
    <t>Sam Gordon</t>
  </si>
  <si>
    <t>this needs to be looked at</t>
  </si>
  <si>
    <t>Elyzabeth Teeples</t>
  </si>
  <si>
    <t>Cameron Iannone</t>
  </si>
  <si>
    <t>Urgent</t>
  </si>
  <si>
    <t>jkh</t>
  </si>
  <si>
    <t>very low on priority</t>
  </si>
  <si>
    <t>Juan Palumbo</t>
  </si>
  <si>
    <t>High</t>
  </si>
  <si>
    <t>Michael Hannawi</t>
  </si>
  <si>
    <t>Devanshi Darji</t>
  </si>
  <si>
    <t>Mitzi Miranda</t>
  </si>
  <si>
    <t>Paulina Lira</t>
  </si>
  <si>
    <t>needs to be looked at</t>
  </si>
  <si>
    <t>On Hold</t>
  </si>
  <si>
    <t>Abandoned</t>
  </si>
  <si>
    <t>needs help</t>
  </si>
  <si>
    <t>This is imporrant</t>
  </si>
  <si>
    <t xml:space="preserve">notes go here.
</t>
  </si>
  <si>
    <t>ji</t>
  </si>
  <si>
    <t>Role</t>
  </si>
  <si>
    <t>Name</t>
  </si>
  <si>
    <t>Email</t>
  </si>
  <si>
    <t>Permitting</t>
  </si>
  <si>
    <t>Jose Perez</t>
  </si>
  <si>
    <t>jose@pacsands.com</t>
  </si>
  <si>
    <t>Designer</t>
  </si>
  <si>
    <t>Victor Nguyen</t>
  </si>
  <si>
    <t>victor@pacsands.com</t>
  </si>
  <si>
    <r>
      <rPr>
        <color rgb="FF1155CC"/>
        <u/>
      </rPr>
      <t>marvin@pacsands.com</t>
    </r>
  </si>
  <si>
    <t>bryn@pacsands.com</t>
  </si>
  <si>
    <t>Joe Guzman</t>
  </si>
  <si>
    <t>joseg@pacsands.com</t>
  </si>
  <si>
    <t>samad@pacsands.com</t>
  </si>
  <si>
    <t>sam@pacsands.com</t>
  </si>
  <si>
    <t>Kevin Miranda</t>
  </si>
  <si>
    <t>kevin@pacsands.com</t>
  </si>
  <si>
    <t>paulina@pacsands.com</t>
  </si>
  <si>
    <t>Cameron Cox</t>
  </si>
  <si>
    <t>cameron@pacsands.com</t>
  </si>
  <si>
    <t>Mark Fisher</t>
  </si>
  <si>
    <t>mark@pacsands.com</t>
  </si>
  <si>
    <t>francesca@pacsands.com</t>
  </si>
  <si>
    <t>Craig Tew</t>
  </si>
  <si>
    <t>craig@pacsands.com</t>
  </si>
  <si>
    <t>michael@pacsands.com</t>
  </si>
  <si>
    <t>juanp@pacsands.com</t>
  </si>
  <si>
    <t>khyati@pacsands.com</t>
  </si>
  <si>
    <t>Alexa Watson</t>
  </si>
  <si>
    <t>alexa@pacsands.com</t>
  </si>
  <si>
    <t>Santi Girault</t>
  </si>
  <si>
    <t>santi@pacsands.com</t>
  </si>
  <si>
    <t>amiziah@pacsands.com</t>
  </si>
  <si>
    <t>icameron@pacsands.com</t>
  </si>
  <si>
    <t>daniela@pacsands.com</t>
  </si>
  <si>
    <t>jasmine@pacsands.com</t>
  </si>
  <si>
    <t>elyzabeth@pacsands.com</t>
  </si>
  <si>
    <t>victoria@pacsands.com</t>
  </si>
  <si>
    <t>mitzi@pacsands.com</t>
  </si>
  <si>
    <t>arely@pacsands.com</t>
  </si>
  <si>
    <t>keval@pacsands.com</t>
  </si>
  <si>
    <t>devanshi@pacsands.com</t>
  </si>
  <si>
    <t>marvsppam0@gmail.com</t>
  </si>
  <si>
    <t>Color (Hex)</t>
  </si>
  <si>
    <t>Phase</t>
  </si>
  <si>
    <t>#F0A6A5</t>
  </si>
  <si>
    <t>A001 Estimate, Proposal &amp; Project Data</t>
  </si>
  <si>
    <t>A001.5 Site Visit and Scan</t>
  </si>
  <si>
    <t>A002 - Existing Conditions</t>
  </si>
  <si>
    <t>A002.5 Client Kickoff Meeting</t>
  </si>
  <si>
    <t>#AF58BB</t>
  </si>
  <si>
    <t>A003 Preliminary Design (Schematic Design)</t>
  </si>
  <si>
    <t>A003.1 Client Review - Waiting on Others</t>
  </si>
  <si>
    <t>#8D4A96</t>
  </si>
  <si>
    <t>A004 Designer SOW-CD Setup</t>
  </si>
  <si>
    <t>#4FD945</t>
  </si>
  <si>
    <t>A005 Architectural &amp; Structural (CD's)</t>
  </si>
  <si>
    <t>#223558</t>
  </si>
  <si>
    <t>A005.8 - Planning Submittal Pending</t>
  </si>
  <si>
    <t>#F3BB20</t>
  </si>
  <si>
    <t>A005.9 - Submitted to Planning</t>
  </si>
  <si>
    <t>#29E1F5</t>
  </si>
  <si>
    <t>A006.3 Title 24 or MEP</t>
  </si>
  <si>
    <t>#1E4BE1</t>
  </si>
  <si>
    <t>A006.5 - Structural Engineering</t>
  </si>
  <si>
    <t>A007 Plan Detailing for Submittal</t>
  </si>
  <si>
    <t>A007.2 Architectural Pre-submittal Responses</t>
  </si>
  <si>
    <t>#29DDF5</t>
  </si>
  <si>
    <t>A007.8 Pending Submittal</t>
  </si>
  <si>
    <t>A008 Submitted - Waiting on Others</t>
  </si>
  <si>
    <t>A008.2 Architectural Comment Responses</t>
  </si>
  <si>
    <t>A008.5 Structural Engineering Corrections</t>
  </si>
  <si>
    <t>A008.6 Arch Packaging Re-Submittal</t>
  </si>
  <si>
    <t>A008.8 Pending Resubmittal</t>
  </si>
  <si>
    <t>A009 Resubmitted</t>
  </si>
  <si>
    <t>#A2322A</t>
  </si>
  <si>
    <t>Abandoned,Expired</t>
  </si>
  <si>
    <t>Approved - Construction Phase</t>
  </si>
  <si>
    <t>Completed - Sent to Client</t>
  </si>
  <si>
    <t>Paused - Stalled by 3rd Party</t>
  </si>
  <si>
    <t>#000105</t>
  </si>
  <si>
    <t>Do Not Click - Final Submit for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</si>
</sst>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u/>
      <color rgb="FF0000FF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ont="1"/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arvin@pacsands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6.14"/>
    <col customWidth="1" min="5" max="5" width="18.86"/>
    <col customWidth="1" min="6" max="10" width="16.43"/>
    <col customWidth="1" min="13" max="13" width="19.14"/>
    <col customWidth="1" min="14" max="14" width="21.43"/>
    <col customWidth="1" min="16" max="16" width="20.0"/>
    <col customWidth="1" min="21" max="24" width="19.86"/>
  </cols>
  <sheetData>
    <row r="1">
      <c r="A1" s="1" t="str">
        <f>IFERROR(__xludf.DUMMYFUNCTION("IMPORTRANGE(""https://docs.google.com/spreadsheets/d/1m6ruGCrUwvj4NpjaIH4qJVp4yLd_xXZlVIWo900XkX8"",""Current Project Status!B:B"")
"),"Project #")</f>
        <v>Project #</v>
      </c>
      <c r="B1" s="1" t="str">
        <f>IFERROR(__xludf.DUMMYFUNCTION("IMPORTRANGE(""https://docs.google.com/spreadsheets/d/1m6ruGCrUwvj4NpjaIH4qJVp4yLd_xXZlVIWo900XkX8"",""Current Project Status!C:C"")
"),"Project")</f>
        <v>Project</v>
      </c>
      <c r="C1" s="1" t="str">
        <f>IFERROR(__xludf.DUMMYFUNCTION("IMPORTRANGE(""https://docs.google.com/spreadsheets/d/1m6ruGCrUwvj4NpjaIH4qJVp4yLd_xXZlVIWo900XkX8"",""Current Project Status!D:D"")
"),"Status")</f>
        <v>Status</v>
      </c>
      <c r="D1" s="1" t="str">
        <f>IFERROR(__xludf.DUMMYFUNCTION("IMPORTRANGE(""https://docs.google.com/spreadsheets/d/1m6ruGCrUwvj4NpjaIH4qJVp4yLd_xXZlVIWo900XkX8"",""Current Project Status!E:E"")
"),"Internal ID")</f>
        <v>Internal ID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>
      <c r="A2" s="1" t="str">
        <f>IFERROR(__xludf.DUMMYFUNCTION("""COMPUTED_VALUE"""),"2512-559")</f>
        <v>2512-559</v>
      </c>
      <c r="B2" s="1" t="str">
        <f>IFERROR(__xludf.DUMMYFUNCTION("""COMPUTED_VALUE"""),"Ogburn SanBern New SFD and ADU Plans Description")</f>
        <v>Ogburn SanBern New SFD and ADU Plans Description</v>
      </c>
      <c r="C2" s="1" t="str">
        <f>IFERROR(__xludf.DUMMYFUNCTION("""COMPUTED_VALUE"""),"A003 Preliminary Design (Schematic Design)")</f>
        <v>A003 Preliminary Design (Schematic Design)</v>
      </c>
      <c r="D2" s="4">
        <f>IFERROR(__xludf.DUMMYFUNCTION("""COMPUTED_VALUE"""),1309173.0)</f>
        <v>1309173</v>
      </c>
      <c r="E2" s="2" t="s">
        <v>20</v>
      </c>
      <c r="F2" s="2" t="s">
        <v>21</v>
      </c>
      <c r="J2" s="2" t="s">
        <v>22</v>
      </c>
      <c r="K2" s="2" t="s">
        <v>21</v>
      </c>
      <c r="L2" s="2" t="s">
        <v>23</v>
      </c>
      <c r="M2" s="2"/>
      <c r="O2" s="5" t="s">
        <v>24</v>
      </c>
      <c r="S2" s="3"/>
      <c r="T2" s="6"/>
      <c r="U2" s="6"/>
      <c r="V2" s="6"/>
      <c r="W2" s="6"/>
      <c r="X2" s="3">
        <v>46006.580151284725</v>
      </c>
    </row>
    <row r="3">
      <c r="A3" s="1" t="str">
        <f>IFERROR(__xludf.DUMMYFUNCTION("""COMPUTED_VALUE"""),"2512-558")</f>
        <v>2512-558</v>
      </c>
      <c r="B3" s="1" t="str">
        <f>IFERROR(__xludf.DUMMYFUNCTION("""COMPUTED_VALUE"""),"Carreon San Pedro Wall Removal Plans")</f>
        <v>Carreon San Pedro Wall Removal Plans</v>
      </c>
      <c r="C3" s="1" t="str">
        <f>IFERROR(__xludf.DUMMYFUNCTION("""COMPUTED_VALUE"""),"A002.5 Client Kickoff Meeting")</f>
        <v>A002.5 Client Kickoff Meeting</v>
      </c>
      <c r="D3" s="4">
        <f>IFERROR(__xludf.DUMMYFUNCTION("""COMPUTED_VALUE"""),1309067.0)</f>
        <v>1309067</v>
      </c>
      <c r="E3" s="2" t="s">
        <v>20</v>
      </c>
      <c r="F3" s="2" t="s">
        <v>21</v>
      </c>
      <c r="J3" s="2" t="s">
        <v>25</v>
      </c>
      <c r="K3" s="2" t="s">
        <v>26</v>
      </c>
      <c r="L3" s="2" t="s">
        <v>21</v>
      </c>
      <c r="M3" s="5" t="s">
        <v>27</v>
      </c>
      <c r="N3" s="5" t="s">
        <v>24</v>
      </c>
      <c r="O3" s="5" t="s">
        <v>27</v>
      </c>
      <c r="P3" s="2" t="s">
        <v>28</v>
      </c>
      <c r="Q3" s="2" t="s">
        <v>29</v>
      </c>
      <c r="R3" s="2" t="s">
        <v>30</v>
      </c>
      <c r="S3" s="6"/>
      <c r="T3" s="6"/>
      <c r="U3" s="6"/>
      <c r="V3" s="6"/>
      <c r="W3" s="6"/>
      <c r="X3" s="3">
        <v>46006.35723364583</v>
      </c>
    </row>
    <row r="4">
      <c r="A4" s="1" t="str">
        <f>IFERROR(__xludf.DUMMYFUNCTION("""COMPUTED_VALUE"""),"2512-557")</f>
        <v>2512-557</v>
      </c>
      <c r="B4" s="1" t="str">
        <f>IFERROR(__xludf.DUMMYFUNCTION("""COMPUTED_VALUE"""),"Franco Calabasas New ADU and Retaining Wall")</f>
        <v>Franco Calabasas New ADU and Retaining Wall</v>
      </c>
      <c r="C4" s="1" t="str">
        <f>IFERROR(__xludf.DUMMYFUNCTION("""COMPUTED_VALUE"""),"A007 Plan Detailing for Submittal")</f>
        <v>A007 Plan Detailing for Submittal</v>
      </c>
      <c r="D4" s="4">
        <f>IFERROR(__xludf.DUMMYFUNCTION("""COMPUTED_VALUE"""),1307552.0)</f>
        <v>1307552</v>
      </c>
      <c r="E4" s="2" t="s">
        <v>31</v>
      </c>
      <c r="F4" s="2" t="s">
        <v>21</v>
      </c>
      <c r="J4" s="2" t="s">
        <v>25</v>
      </c>
      <c r="K4" s="2" t="s">
        <v>32</v>
      </c>
      <c r="L4" s="2" t="s">
        <v>33</v>
      </c>
      <c r="M4" s="5" t="s">
        <v>27</v>
      </c>
      <c r="N4" s="5" t="s">
        <v>24</v>
      </c>
      <c r="O4" s="5" t="s">
        <v>27</v>
      </c>
      <c r="P4" s="2" t="s">
        <v>28</v>
      </c>
      <c r="Q4" s="2" t="s">
        <v>29</v>
      </c>
      <c r="R4" s="2" t="s">
        <v>30</v>
      </c>
      <c r="S4" s="3">
        <v>46005.386705</v>
      </c>
      <c r="T4" s="6"/>
      <c r="U4" s="6"/>
      <c r="V4" s="3">
        <v>46006.542802870375</v>
      </c>
      <c r="W4" s="6"/>
      <c r="X4" s="3">
        <v>46006.366587384255</v>
      </c>
    </row>
    <row r="5">
      <c r="A5" s="1" t="str">
        <f>IFERROR(__xludf.DUMMYFUNCTION("""COMPUTED_VALUE"""),"2512-556")</f>
        <v>2512-556</v>
      </c>
      <c r="B5" s="1" t="str">
        <f>IFERROR(__xludf.DUMMYFUNCTION("""COMPUTED_VALUE"""),"Uskup")</f>
        <v>Uskup</v>
      </c>
      <c r="C5" s="1" t="str">
        <f>IFERROR(__xludf.DUMMYFUNCTION("""COMPUTED_VALUE"""),"Completed - Sent to Client")</f>
        <v>Completed - Sent to Client</v>
      </c>
      <c r="D5" s="4">
        <f>IFERROR(__xludf.DUMMYFUNCTION("""COMPUTED_VALUE"""),1304737.0)</f>
        <v>1304737</v>
      </c>
      <c r="E5" s="5" t="s">
        <v>34</v>
      </c>
      <c r="J5" s="2" t="s">
        <v>35</v>
      </c>
      <c r="K5" s="2" t="s">
        <v>26</v>
      </c>
      <c r="L5" s="2" t="s">
        <v>36</v>
      </c>
      <c r="M5" s="5" t="s">
        <v>27</v>
      </c>
      <c r="N5" s="5" t="s">
        <v>37</v>
      </c>
      <c r="O5" s="5" t="s">
        <v>37</v>
      </c>
      <c r="S5" s="6"/>
      <c r="T5" s="6"/>
      <c r="U5" s="6"/>
      <c r="V5" s="6"/>
      <c r="W5" s="6"/>
      <c r="X5" s="6"/>
    </row>
    <row r="6">
      <c r="A6" s="1" t="str">
        <f>IFERROR(__xludf.DUMMYFUNCTION("""COMPUTED_VALUE"""),"2512-555")</f>
        <v>2512-555</v>
      </c>
      <c r="B6" s="1" t="str">
        <f>IFERROR(__xludf.DUMMYFUNCTION("""COMPUTED_VALUE"""),"Sharan-SJCap-TI-Plan-Take Over")</f>
        <v>Sharan-SJCap-TI-Plan-Take Over</v>
      </c>
      <c r="C6" s="1" t="str">
        <f>IFERROR(__xludf.DUMMYFUNCTION("""COMPUTED_VALUE"""),"A001 Estimate, Proposal &amp; Project Data")</f>
        <v>A001 Estimate, Proposal &amp; Project Data</v>
      </c>
      <c r="D6" s="4">
        <f>IFERROR(__xludf.DUMMYFUNCTION("""COMPUTED_VALUE"""),1299890.0)</f>
        <v>1299890</v>
      </c>
      <c r="E6" s="2" t="s">
        <v>38</v>
      </c>
      <c r="F6" s="2" t="s">
        <v>21</v>
      </c>
      <c r="J6" s="2" t="s">
        <v>22</v>
      </c>
      <c r="K6" s="2" t="s">
        <v>39</v>
      </c>
      <c r="L6" s="2" t="s">
        <v>40</v>
      </c>
      <c r="M6" s="2" t="s">
        <v>37</v>
      </c>
      <c r="N6" s="5" t="s">
        <v>27</v>
      </c>
      <c r="O6" s="5" t="s">
        <v>24</v>
      </c>
      <c r="S6" s="3">
        <v>46006.57706884259</v>
      </c>
      <c r="T6" s="6"/>
      <c r="U6" s="6"/>
      <c r="V6" s="6"/>
      <c r="W6" s="6"/>
      <c r="X6" s="3">
        <v>46006.375863078705</v>
      </c>
    </row>
    <row r="7">
      <c r="A7" s="1" t="str">
        <f>IFERROR(__xludf.DUMMYFUNCTION("""COMPUTED_VALUE"""),"2512-554")</f>
        <v>2512-554</v>
      </c>
      <c r="B7" s="1" t="str">
        <f>IFERROR(__xludf.DUMMYFUNCTION("""COMPUTED_VALUE"""),"Tomlinson-Long-Beach-Stair-Plans")</f>
        <v>Tomlinson-Long-Beach-Stair-Plans</v>
      </c>
      <c r="C7" s="1" t="str">
        <f>IFERROR(__xludf.DUMMYFUNCTION("""COMPUTED_VALUE"""),"A002 - Existing Conditions")</f>
        <v>A002 - Existing Conditions</v>
      </c>
      <c r="D7" s="4">
        <f>IFERROR(__xludf.DUMMYFUNCTION("""COMPUTED_VALUE"""),1299780.0)</f>
        <v>1299780</v>
      </c>
      <c r="E7" s="5" t="s">
        <v>20</v>
      </c>
      <c r="F7" s="2"/>
      <c r="H7" s="2" t="s">
        <v>41</v>
      </c>
      <c r="I7" s="2"/>
      <c r="J7" s="2" t="s">
        <v>42</v>
      </c>
      <c r="K7" s="2" t="s">
        <v>43</v>
      </c>
      <c r="L7" s="2" t="s">
        <v>25</v>
      </c>
      <c r="M7" s="5" t="s">
        <v>37</v>
      </c>
      <c r="N7" s="5" t="s">
        <v>37</v>
      </c>
      <c r="O7" s="5" t="s">
        <v>44</v>
      </c>
      <c r="S7" s="3">
        <v>46005.03672361111</v>
      </c>
      <c r="T7" s="6"/>
      <c r="U7" s="6"/>
      <c r="V7" s="3">
        <v>46006.21567311343</v>
      </c>
      <c r="W7" s="3">
        <v>46005.30112310185</v>
      </c>
      <c r="X7" s="6"/>
    </row>
    <row r="8">
      <c r="A8" s="1" t="str">
        <f>IFERROR(__xludf.DUMMYFUNCTION("""COMPUTED_VALUE"""),"2511-553")</f>
        <v>2511-553</v>
      </c>
      <c r="B8" s="1" t="str">
        <f>IFERROR(__xludf.DUMMYFUNCTION("""COMPUTED_VALUE"""),"EKIM-El-Cajon-Multi-Family-As-Builts")</f>
        <v>EKIM-El-Cajon-Multi-Family-As-Builts</v>
      </c>
      <c r="C8" s="1" t="str">
        <f>IFERROR(__xludf.DUMMYFUNCTION("""COMPUTED_VALUE"""),"A002 - Existing Conditions")</f>
        <v>A002 - Existing Conditions</v>
      </c>
      <c r="D8" s="4">
        <f>IFERROR(__xludf.DUMMYFUNCTION("""COMPUTED_VALUE"""),1298627.0)</f>
        <v>1298627</v>
      </c>
      <c r="E8" s="2" t="s">
        <v>22</v>
      </c>
      <c r="F8" s="2" t="s">
        <v>21</v>
      </c>
      <c r="I8" s="2" t="s">
        <v>45</v>
      </c>
      <c r="J8" s="2" t="s">
        <v>33</v>
      </c>
      <c r="K8" s="2" t="s">
        <v>40</v>
      </c>
      <c r="L8" s="2" t="s">
        <v>35</v>
      </c>
      <c r="M8" s="5" t="s">
        <v>44</v>
      </c>
      <c r="N8" s="5" t="s">
        <v>44</v>
      </c>
      <c r="O8" s="5" t="s">
        <v>24</v>
      </c>
      <c r="R8" s="2" t="s">
        <v>46</v>
      </c>
      <c r="S8" s="3">
        <v>46004.96143210648</v>
      </c>
      <c r="T8" s="3">
        <v>46005.4198103588</v>
      </c>
      <c r="U8" s="3">
        <v>46005.033129131945</v>
      </c>
      <c r="V8" s="6"/>
      <c r="W8" s="6"/>
      <c r="X8" s="3">
        <v>46006.29630707176</v>
      </c>
    </row>
    <row r="9">
      <c r="A9" s="1" t="str">
        <f>IFERROR(__xludf.DUMMYFUNCTION("""COMPUTED_VALUE"""),"2511-552")</f>
        <v>2511-552</v>
      </c>
      <c r="B9" s="1" t="str">
        <f>IFERROR(__xludf.DUMMYFUNCTION("""COMPUTED_VALUE"""),"Scinto-Rancho-Mirage-Bedroom-Addition")</f>
        <v>Scinto-Rancho-Mirage-Bedroom-Addition</v>
      </c>
      <c r="C9" s="1" t="str">
        <f>IFERROR(__xludf.DUMMYFUNCTION("""COMPUTED_VALUE"""),"A001.5 Site Visit and Scan")</f>
        <v>A001.5 Site Visit and Scan</v>
      </c>
      <c r="D9" s="4">
        <f>IFERROR(__xludf.DUMMYFUNCTION("""COMPUTED_VALUE"""),1298566.0)</f>
        <v>1298566</v>
      </c>
      <c r="E9" s="2" t="s">
        <v>21</v>
      </c>
      <c r="G9" s="2" t="s">
        <v>27</v>
      </c>
      <c r="J9" s="2" t="s">
        <v>25</v>
      </c>
      <c r="K9" s="2" t="s">
        <v>40</v>
      </c>
      <c r="L9" s="2" t="s">
        <v>26</v>
      </c>
      <c r="M9" s="5" t="s">
        <v>44</v>
      </c>
      <c r="N9" s="5" t="s">
        <v>24</v>
      </c>
      <c r="O9" s="5" t="s">
        <v>24</v>
      </c>
      <c r="S9" s="6"/>
      <c r="T9" s="6"/>
      <c r="U9" s="6"/>
      <c r="V9" s="3">
        <v>46007.00571636574</v>
      </c>
      <c r="W9" s="6"/>
      <c r="X9" s="6"/>
    </row>
    <row r="10">
      <c r="A10" s="1" t="str">
        <f>IFERROR(__xludf.DUMMYFUNCTION("""COMPUTED_VALUE"""),"2511-551")</f>
        <v>2511-551</v>
      </c>
      <c r="B10" s="1" t="str">
        <f>IFERROR(__xludf.DUMMYFUNCTION("""COMPUTED_VALUE"""),"Tucker-Oceanside-ADU-Plan-Takeover")</f>
        <v>Tucker-Oceanside-ADU-Plan-Takeover</v>
      </c>
      <c r="C10" s="1" t="str">
        <f>IFERROR(__xludf.DUMMYFUNCTION("""COMPUTED_VALUE"""),"A005 Architectural &amp; Structural (CD's)")</f>
        <v>A005 Architectural &amp; Structural (CD's)</v>
      </c>
      <c r="D10" s="4">
        <f>IFERROR(__xludf.DUMMYFUNCTION("""COMPUTED_VALUE"""),1298505.0)</f>
        <v>1298505</v>
      </c>
      <c r="E10" s="5" t="s">
        <v>20</v>
      </c>
      <c r="J10" s="2" t="s">
        <v>47</v>
      </c>
      <c r="K10" s="2" t="s">
        <v>33</v>
      </c>
      <c r="L10" s="2" t="s">
        <v>21</v>
      </c>
      <c r="M10" s="5" t="s">
        <v>24</v>
      </c>
      <c r="N10" s="5" t="s">
        <v>24</v>
      </c>
      <c r="O10" s="5" t="s">
        <v>37</v>
      </c>
      <c r="S10" s="3">
        <v>46004.96158258102</v>
      </c>
      <c r="T10" s="6"/>
      <c r="U10" s="6"/>
      <c r="V10" s="6"/>
      <c r="W10" s="6"/>
      <c r="X10" s="6"/>
    </row>
    <row r="11">
      <c r="A11" s="1" t="str">
        <f>IFERROR(__xludf.DUMMYFUNCTION("""COMPUTED_VALUE"""),"2511-550")</f>
        <v>2511-550</v>
      </c>
      <c r="B11" s="1" t="str">
        <f>IFERROR(__xludf.DUMMYFUNCTION("""COMPUTED_VALUE"""),"Tataurova-Spring-Valley-SB9-GADU-Plans")</f>
        <v>Tataurova-Spring-Valley-SB9-GADU-Plans</v>
      </c>
      <c r="C11" s="1" t="str">
        <f>IFERROR(__xludf.DUMMYFUNCTION("""COMPUTED_VALUE"""),"A003 Preliminary Design (Schematic Design)")</f>
        <v>A003 Preliminary Design (Schematic Design)</v>
      </c>
      <c r="D11" s="4">
        <f>IFERROR(__xludf.DUMMYFUNCTION("""COMPUTED_VALUE"""),1288335.0)</f>
        <v>1288335</v>
      </c>
      <c r="E11" s="5" t="s">
        <v>34</v>
      </c>
      <c r="F11" s="2" t="s">
        <v>21</v>
      </c>
      <c r="J11" s="2" t="s">
        <v>22</v>
      </c>
      <c r="K11" s="2" t="s">
        <v>40</v>
      </c>
      <c r="L11" s="2" t="s">
        <v>40</v>
      </c>
      <c r="N11" s="5" t="s">
        <v>48</v>
      </c>
      <c r="O11" s="5" t="s">
        <v>44</v>
      </c>
      <c r="S11" s="6"/>
      <c r="T11" s="6"/>
      <c r="U11" s="6"/>
      <c r="V11" s="6"/>
      <c r="W11" s="6"/>
      <c r="X11" s="3">
        <v>46006.55421652777</v>
      </c>
    </row>
    <row r="12">
      <c r="A12" s="1" t="str">
        <f>IFERROR(__xludf.DUMMYFUNCTION("""COMPUTED_VALUE"""),"2511-549")</f>
        <v>2511-549</v>
      </c>
      <c r="B12" s="1" t="str">
        <f>IFERROR(__xludf.DUMMYFUNCTION("""COMPUTED_VALUE"""),"Simon-Redondo-Beach-Existing-Sunroom")</f>
        <v>Simon-Redondo-Beach-Existing-Sunroom</v>
      </c>
      <c r="C12" s="1" t="str">
        <f>IFERROR(__xludf.DUMMYFUNCTION("""COMPUTED_VALUE"""),"A003 Preliminary Design (Schematic Design)")</f>
        <v>A003 Preliminary Design (Schematic Design)</v>
      </c>
      <c r="D12" s="4">
        <f>IFERROR(__xludf.DUMMYFUNCTION("""COMPUTED_VALUE"""),1285958.0)</f>
        <v>1285958</v>
      </c>
      <c r="E12" s="5" t="s">
        <v>34</v>
      </c>
      <c r="F12" s="2" t="s">
        <v>21</v>
      </c>
      <c r="J12" s="2" t="s">
        <v>22</v>
      </c>
      <c r="K12" s="2" t="s">
        <v>25</v>
      </c>
      <c r="L12" s="2" t="s">
        <v>40</v>
      </c>
      <c r="N12" s="5" t="s">
        <v>44</v>
      </c>
      <c r="O12" s="5" t="s">
        <v>48</v>
      </c>
      <c r="S12" s="6"/>
      <c r="T12" s="6"/>
      <c r="U12" s="6"/>
      <c r="V12" s="6"/>
      <c r="W12" s="6"/>
      <c r="X12" s="3">
        <v>46006.55432225694</v>
      </c>
    </row>
    <row r="13">
      <c r="A13" s="1" t="str">
        <f>IFERROR(__xludf.DUMMYFUNCTION("""COMPUTED_VALUE"""),"2511-548")</f>
        <v>2511-548</v>
      </c>
      <c r="B13" s="1" t="str">
        <f>IFERROR(__xludf.DUMMYFUNCTION("""COMPUTED_VALUE"""),"Patel-Yorba-Linda-Addition-and-Remodel-Plans")</f>
        <v>Patel-Yorba-Linda-Addition-and-Remodel-Plans</v>
      </c>
      <c r="C13" s="1" t="str">
        <f>IFERROR(__xludf.DUMMYFUNCTION("""COMPUTED_VALUE"""),"A003.1 Client Review - Waiting on Others")</f>
        <v>A003.1 Client Review - Waiting on Others</v>
      </c>
      <c r="D13" s="4">
        <f>IFERROR(__xludf.DUMMYFUNCTION("""COMPUTED_VALUE"""),1282369.0)</f>
        <v>1282369</v>
      </c>
      <c r="E13" s="5" t="s">
        <v>20</v>
      </c>
      <c r="J13" s="2" t="s">
        <v>49</v>
      </c>
      <c r="K13" s="2" t="s">
        <v>50</v>
      </c>
      <c r="L13" s="2" t="s">
        <v>50</v>
      </c>
      <c r="M13" s="5" t="s">
        <v>37</v>
      </c>
      <c r="N13" s="5" t="s">
        <v>48</v>
      </c>
      <c r="O13" s="5" t="s">
        <v>24</v>
      </c>
      <c r="S13" s="6"/>
      <c r="T13" s="6"/>
      <c r="U13" s="6"/>
      <c r="V13" s="6"/>
      <c r="W13" s="6"/>
      <c r="X13" s="6"/>
    </row>
    <row r="14">
      <c r="A14" s="1" t="str">
        <f>IFERROR(__xludf.DUMMYFUNCTION("""COMPUTED_VALUE"""),"2511-547")</f>
        <v>2511-547</v>
      </c>
      <c r="B14" s="1" t="str">
        <f>IFERROR(__xludf.DUMMYFUNCTION("""COMPUTED_VALUE"""),"Moshe-Menifee-Garage-ADU-Plans")</f>
        <v>Moshe-Menifee-Garage-ADU-Plans</v>
      </c>
      <c r="C14" s="1" t="str">
        <f>IFERROR(__xludf.DUMMYFUNCTION("""COMPUTED_VALUE"""),"A006.3 Title 24 or MEP")</f>
        <v>A006.3 Title 24 or MEP</v>
      </c>
      <c r="D14" s="4">
        <f>IFERROR(__xludf.DUMMYFUNCTION("""COMPUTED_VALUE"""),1282368.0)</f>
        <v>1282368</v>
      </c>
      <c r="E14" s="2" t="s">
        <v>21</v>
      </c>
      <c r="J14" s="2" t="s">
        <v>23</v>
      </c>
      <c r="K14" s="2" t="s">
        <v>39</v>
      </c>
      <c r="L14" s="2" t="s">
        <v>40</v>
      </c>
      <c r="M14" s="5" t="s">
        <v>24</v>
      </c>
      <c r="N14" s="5" t="s">
        <v>48</v>
      </c>
      <c r="O14" s="5" t="s">
        <v>37</v>
      </c>
      <c r="S14" s="6"/>
      <c r="T14" s="6"/>
      <c r="U14" s="6"/>
      <c r="V14" s="3">
        <v>46006.542710740745</v>
      </c>
      <c r="W14" s="3">
        <v>46005.02490255787</v>
      </c>
      <c r="X14" s="6"/>
    </row>
    <row r="15">
      <c r="A15" s="1" t="str">
        <f>IFERROR(__xludf.DUMMYFUNCTION("""COMPUTED_VALUE"""),"2511-546")</f>
        <v>2511-546</v>
      </c>
      <c r="B15" s="1" t="str">
        <f>IFERROR(__xludf.DUMMYFUNCTION("""COMPUTED_VALUE"""),"Cheung-Whittier-ADU-Plans-Proposal")</f>
        <v>Cheung-Whittier-ADU-Plans-Proposal</v>
      </c>
      <c r="C15" s="1" t="str">
        <f>IFERROR(__xludf.DUMMYFUNCTION("""COMPUTED_VALUE"""),"A005 Architectural &amp; Structural (CD's)")</f>
        <v>A005 Architectural &amp; Structural (CD's)</v>
      </c>
      <c r="D15" s="4">
        <f>IFERROR(__xludf.DUMMYFUNCTION("""COMPUTED_VALUE"""),1282366.0)</f>
        <v>1282366</v>
      </c>
      <c r="E15" s="2" t="s">
        <v>22</v>
      </c>
      <c r="J15" s="2" t="s">
        <v>32</v>
      </c>
      <c r="K15" s="2" t="s">
        <v>47</v>
      </c>
      <c r="L15" s="2" t="s">
        <v>22</v>
      </c>
      <c r="M15" s="5" t="s">
        <v>24</v>
      </c>
      <c r="N15" s="5" t="s">
        <v>24</v>
      </c>
      <c r="O15" s="2" t="s">
        <v>24</v>
      </c>
      <c r="S15" s="6"/>
      <c r="T15" s="6"/>
      <c r="U15" s="3">
        <v>46006.38551278935</v>
      </c>
      <c r="V15" s="6"/>
      <c r="W15" s="3">
        <v>46005.024889328706</v>
      </c>
      <c r="X15" s="6"/>
    </row>
    <row r="16">
      <c r="A16" s="1" t="str">
        <f>IFERROR(__xludf.DUMMYFUNCTION("""COMPUTED_VALUE"""),"2511-545")</f>
        <v>2511-545</v>
      </c>
      <c r="B16" s="1" t="str">
        <f>IFERROR(__xludf.DUMMYFUNCTION("""COMPUTED_VALUE"""),"Espino-Murrieta-Patio-Plans")</f>
        <v>Espino-Murrieta-Patio-Plans</v>
      </c>
      <c r="C16" s="1" t="str">
        <f>IFERROR(__xludf.DUMMYFUNCTION("""COMPUTED_VALUE"""),"A007 Plan Detailing for Submittal")</f>
        <v>A007 Plan Detailing for Submittal</v>
      </c>
      <c r="D16" s="4">
        <f>IFERROR(__xludf.DUMMYFUNCTION("""COMPUTED_VALUE"""),1280705.0)</f>
        <v>1280705</v>
      </c>
      <c r="E16" s="5" t="s">
        <v>20</v>
      </c>
      <c r="J16" s="2" t="s">
        <v>22</v>
      </c>
      <c r="K16" s="2" t="s">
        <v>50</v>
      </c>
      <c r="L16" s="2" t="s">
        <v>33</v>
      </c>
      <c r="M16" s="2" t="s">
        <v>24</v>
      </c>
      <c r="N16" s="5" t="s">
        <v>48</v>
      </c>
      <c r="O16" s="5" t="s">
        <v>24</v>
      </c>
      <c r="S16" s="3">
        <v>46006.57690025463</v>
      </c>
      <c r="T16" s="6"/>
      <c r="U16" s="6"/>
      <c r="V16" s="6"/>
      <c r="W16" s="3">
        <v>46005.02493623843</v>
      </c>
      <c r="X16" s="6"/>
    </row>
    <row r="17">
      <c r="A17" s="1" t="str">
        <f>IFERROR(__xludf.DUMMYFUNCTION("""COMPUTED_VALUE"""),"2511-544")</f>
        <v>2511-544</v>
      </c>
      <c r="B17" s="1" t="str">
        <f>IFERROR(__xludf.DUMMYFUNCTION("""COMPUTED_VALUE"""),"Yang-LA-ADU-and-Bedroom-Permitting")</f>
        <v>Yang-LA-ADU-and-Bedroom-Permitting</v>
      </c>
      <c r="C17" s="1" t="str">
        <f>IFERROR(__xludf.DUMMYFUNCTION("""COMPUTED_VALUE"""),"A006.5 - Structural Engineering")</f>
        <v>A006.5 - Structural Engineering</v>
      </c>
      <c r="D17" s="4">
        <f>IFERROR(__xludf.DUMMYFUNCTION("""COMPUTED_VALUE"""),1280448.0)</f>
        <v>1280448</v>
      </c>
      <c r="E17" s="5" t="s">
        <v>34</v>
      </c>
      <c r="J17" s="2" t="s">
        <v>23</v>
      </c>
      <c r="K17" s="2" t="s">
        <v>22</v>
      </c>
      <c r="L17" s="2" t="s">
        <v>47</v>
      </c>
      <c r="M17" s="5" t="s">
        <v>44</v>
      </c>
      <c r="N17" s="2" t="s">
        <v>24</v>
      </c>
      <c r="O17" s="5" t="s">
        <v>24</v>
      </c>
      <c r="S17" s="6"/>
      <c r="T17" s="3">
        <v>46006.3867125463</v>
      </c>
      <c r="U17" s="6"/>
      <c r="V17" s="6"/>
      <c r="W17" s="3">
        <v>46005.02494350694</v>
      </c>
      <c r="X17" s="6"/>
    </row>
    <row r="18">
      <c r="A18" s="1" t="str">
        <f>IFERROR(__xludf.DUMMYFUNCTION("""COMPUTED_VALUE"""),"2511-543")</f>
        <v>2511-543</v>
      </c>
      <c r="B18" s="1" t="str">
        <f>IFERROR(__xludf.DUMMYFUNCTION("""COMPUTED_VALUE"""),"Simhon-Joshua-Tree-Plane-Storage-and-Fence-Permits")</f>
        <v>Simhon-Joshua-Tree-Plane-Storage-and-Fence-Permits</v>
      </c>
      <c r="C18" s="1" t="str">
        <f>IFERROR(__xludf.DUMMYFUNCTION("""COMPUTED_VALUE"""),"A002 - Existing Conditions")</f>
        <v>A002 - Existing Conditions</v>
      </c>
      <c r="D18" s="4">
        <f>IFERROR(__xludf.DUMMYFUNCTION("""COMPUTED_VALUE"""),1279201.0)</f>
        <v>1279201</v>
      </c>
      <c r="E18" s="2" t="s">
        <v>21</v>
      </c>
      <c r="F18" s="2" t="s">
        <v>21</v>
      </c>
      <c r="G18" s="2" t="s">
        <v>44</v>
      </c>
      <c r="J18" s="2" t="s">
        <v>22</v>
      </c>
      <c r="K18" s="2" t="s">
        <v>25</v>
      </c>
      <c r="L18" s="2" t="s">
        <v>47</v>
      </c>
      <c r="N18" s="5" t="s">
        <v>27</v>
      </c>
      <c r="O18" s="5" t="s">
        <v>37</v>
      </c>
      <c r="S18" s="6"/>
      <c r="T18" s="6"/>
      <c r="U18" s="6"/>
      <c r="V18" s="3">
        <v>46007.008536134264</v>
      </c>
      <c r="W18" s="3">
        <v>46005.02498369213</v>
      </c>
      <c r="X18" s="3">
        <v>46006.57648790509</v>
      </c>
    </row>
    <row r="19">
      <c r="A19" s="1" t="str">
        <f>IFERROR(__xludf.DUMMYFUNCTION("""COMPUTED_VALUE"""),"2511-542")</f>
        <v>2511-542</v>
      </c>
      <c r="B19" s="1" t="str">
        <f>IFERROR(__xludf.DUMMYFUNCTION("""COMPUTED_VALUE"""),"Bergman-Temecula-Remodel-Design")</f>
        <v>Bergman-Temecula-Remodel-Design</v>
      </c>
      <c r="C19" s="1" t="str">
        <f>IFERROR(__xludf.DUMMYFUNCTION("""COMPUTED_VALUE"""),"A003.1 Client Review - Waiting on Others")</f>
        <v>A003.1 Client Review - Waiting on Others</v>
      </c>
      <c r="D19" s="4">
        <f>IFERROR(__xludf.DUMMYFUNCTION("""COMPUTED_VALUE"""),1279190.0)</f>
        <v>1279190</v>
      </c>
      <c r="E19" s="5" t="s">
        <v>20</v>
      </c>
      <c r="J19" s="2" t="s">
        <v>49</v>
      </c>
      <c r="K19" s="2" t="s">
        <v>51</v>
      </c>
      <c r="L19" s="2" t="s">
        <v>32</v>
      </c>
      <c r="M19" s="5" t="s">
        <v>24</v>
      </c>
      <c r="N19" s="5" t="s">
        <v>24</v>
      </c>
      <c r="O19" s="5" t="s">
        <v>27</v>
      </c>
      <c r="S19" s="3">
        <v>46005.41969267361</v>
      </c>
      <c r="T19" s="6"/>
      <c r="U19" s="6"/>
      <c r="V19" s="6"/>
      <c r="W19" s="3">
        <v>46005.024967986115</v>
      </c>
      <c r="X19" s="6"/>
    </row>
    <row r="20">
      <c r="A20" s="1" t="str">
        <f>IFERROR(__xludf.DUMMYFUNCTION("""COMPUTED_VALUE"""),"2510-541")</f>
        <v>2510-541</v>
      </c>
      <c r="B20" s="1" t="str">
        <f>IFERROR(__xludf.DUMMYFUNCTION("""COMPUTED_VALUE"""),"Klaassen-Del-Mar-Kitchen-Remodel")</f>
        <v>Klaassen-Del-Mar-Kitchen-Remodel</v>
      </c>
      <c r="C20" s="1" t="str">
        <f>IFERROR(__xludf.DUMMYFUNCTION("""COMPUTED_VALUE"""),"A003.1 Client Review - Waiting on Others")</f>
        <v>A003.1 Client Review - Waiting on Others</v>
      </c>
      <c r="D20" s="4">
        <f>IFERROR(__xludf.DUMMYFUNCTION("""COMPUTED_VALUE"""),1270542.0)</f>
        <v>1270542</v>
      </c>
      <c r="E20" s="2" t="s">
        <v>21</v>
      </c>
      <c r="G20" s="2" t="s">
        <v>37</v>
      </c>
      <c r="J20" s="2" t="s">
        <v>52</v>
      </c>
      <c r="K20" s="2" t="s">
        <v>47</v>
      </c>
      <c r="L20" s="2" t="s">
        <v>40</v>
      </c>
      <c r="M20" s="2" t="s">
        <v>27</v>
      </c>
      <c r="N20" s="5" t="s">
        <v>27</v>
      </c>
      <c r="O20" s="5" t="s">
        <v>48</v>
      </c>
      <c r="S20" s="3">
        <v>46006.38585327547</v>
      </c>
      <c r="T20" s="6"/>
      <c r="U20" s="6"/>
      <c r="V20" s="3">
        <v>46007.00568664352</v>
      </c>
      <c r="W20" s="3">
        <v>46006.396653993055</v>
      </c>
      <c r="X20" s="6"/>
    </row>
    <row r="21">
      <c r="A21" s="1" t="str">
        <f>IFERROR(__xludf.DUMMYFUNCTION("""COMPUTED_VALUE"""),"2510-540")</f>
        <v>2510-540</v>
      </c>
      <c r="B21" s="1" t="str">
        <f>IFERROR(__xludf.DUMMYFUNCTION("""COMPUTED_VALUE"""),"Alvi-Thousand-Oaks-ADU-and-Second-Story-Addition")</f>
        <v>Alvi-Thousand-Oaks-ADU-and-Second-Story-Addition</v>
      </c>
      <c r="C21" s="1" t="str">
        <f>IFERROR(__xludf.DUMMYFUNCTION("""COMPUTED_VALUE"""),"A003.1 Client Review - Waiting on Others")</f>
        <v>A003.1 Client Review - Waiting on Others</v>
      </c>
      <c r="D21" s="4">
        <f>IFERROR(__xludf.DUMMYFUNCTION("""COMPUTED_VALUE"""),1270488.0)</f>
        <v>1270488</v>
      </c>
      <c r="E21" s="2" t="s">
        <v>22</v>
      </c>
      <c r="J21" s="2" t="s">
        <v>40</v>
      </c>
      <c r="K21" s="2" t="s">
        <v>21</v>
      </c>
      <c r="L21" s="2" t="s">
        <v>39</v>
      </c>
      <c r="M21" s="5" t="s">
        <v>27</v>
      </c>
      <c r="N21" s="2" t="s">
        <v>37</v>
      </c>
      <c r="O21" s="5" t="s">
        <v>24</v>
      </c>
      <c r="S21" s="6"/>
      <c r="T21" s="3">
        <v>46006.99886708333</v>
      </c>
      <c r="U21" s="6"/>
      <c r="V21" s="6"/>
      <c r="W21" s="3">
        <v>46005.02461778936</v>
      </c>
      <c r="X21" s="6"/>
    </row>
    <row r="22">
      <c r="A22" s="1" t="str">
        <f>IFERROR(__xludf.DUMMYFUNCTION("""COMPUTED_VALUE"""),"2510-539")</f>
        <v>2510-539</v>
      </c>
      <c r="B22" s="1" t="str">
        <f>IFERROR(__xludf.DUMMYFUNCTION("""COMPUTED_VALUE"""),"McPartland-San-Diego-Site-Plan-Floor-Plans")</f>
        <v>McPartland-San-Diego-Site-Plan-Floor-Plans</v>
      </c>
      <c r="C22" s="1" t="str">
        <f>IFERROR(__xludf.DUMMYFUNCTION("""COMPUTED_VALUE"""),"A001.5 Site Visit and Scan")</f>
        <v>A001.5 Site Visit and Scan</v>
      </c>
      <c r="D22" s="4">
        <f>IFERROR(__xludf.DUMMYFUNCTION("""COMPUTED_VALUE"""),1269153.0)</f>
        <v>1269153</v>
      </c>
      <c r="E22" s="5" t="s">
        <v>20</v>
      </c>
      <c r="J22" s="2" t="s">
        <v>22</v>
      </c>
      <c r="K22" s="2" t="s">
        <v>51</v>
      </c>
      <c r="L22" s="2" t="s">
        <v>25</v>
      </c>
      <c r="M22" s="2" t="s">
        <v>24</v>
      </c>
      <c r="N22" s="5" t="s">
        <v>37</v>
      </c>
      <c r="O22" s="5" t="s">
        <v>44</v>
      </c>
      <c r="S22" s="3">
        <v>46007.012318912035</v>
      </c>
      <c r="T22" s="6"/>
      <c r="U22" s="6"/>
      <c r="V22" s="6"/>
      <c r="W22" s="3">
        <v>46005.02472686343</v>
      </c>
      <c r="X22" s="6"/>
    </row>
    <row r="23">
      <c r="A23" s="1" t="str">
        <f>IFERROR(__xludf.DUMMYFUNCTION("""COMPUTED_VALUE"""),"2510-538")</f>
        <v>2510-538</v>
      </c>
      <c r="B23" s="1" t="str">
        <f>IFERROR(__xludf.DUMMYFUNCTION("""COMPUTED_VALUE"""),"Kassem-Chino-Hills-Site-Plan")</f>
        <v>Kassem-Chino-Hills-Site-Plan</v>
      </c>
      <c r="C23" s="1" t="str">
        <f>IFERROR(__xludf.DUMMYFUNCTION("""COMPUTED_VALUE"""),"Completed - Sent to Client")</f>
        <v>Completed - Sent to Client</v>
      </c>
      <c r="D23" s="4">
        <f>IFERROR(__xludf.DUMMYFUNCTION("""COMPUTED_VALUE"""),1269154.0)</f>
        <v>1269154</v>
      </c>
      <c r="E23" s="5" t="s">
        <v>20</v>
      </c>
      <c r="F23" s="2" t="s">
        <v>21</v>
      </c>
      <c r="J23" s="2" t="s">
        <v>22</v>
      </c>
      <c r="K23" s="2" t="s">
        <v>47</v>
      </c>
      <c r="L23" s="2" t="s">
        <v>40</v>
      </c>
      <c r="N23" s="5" t="s">
        <v>48</v>
      </c>
      <c r="O23" s="5" t="s">
        <v>37</v>
      </c>
      <c r="S23" s="6"/>
      <c r="T23" s="6"/>
      <c r="U23" s="6"/>
      <c r="V23" s="6"/>
      <c r="W23" s="3">
        <v>46005.024695</v>
      </c>
      <c r="X23" s="3">
        <v>46006.57660556713</v>
      </c>
    </row>
    <row r="24">
      <c r="A24" s="1" t="str">
        <f>IFERROR(__xludf.DUMMYFUNCTION("""COMPUTED_VALUE"""),"2510-537")</f>
        <v>2510-537</v>
      </c>
      <c r="B24" s="1" t="str">
        <f>IFERROR(__xludf.DUMMYFUNCTION("""COMPUTED_VALUE"""),"Zohn-Del-Mar-Interior-Remodel")</f>
        <v>Zohn-Del-Mar-Interior-Remodel</v>
      </c>
      <c r="C24" s="1" t="str">
        <f>IFERROR(__xludf.DUMMYFUNCTION("""COMPUTED_VALUE"""),"A007.8 Pending Submittal")</f>
        <v>A007.8 Pending Submittal</v>
      </c>
      <c r="D24" s="4">
        <f>IFERROR(__xludf.DUMMYFUNCTION("""COMPUTED_VALUE"""),1260048.0)</f>
        <v>1260048</v>
      </c>
      <c r="E24" s="5" t="s">
        <v>34</v>
      </c>
      <c r="J24" s="2" t="s">
        <v>32</v>
      </c>
      <c r="K24" s="2" t="s">
        <v>22</v>
      </c>
      <c r="L24" s="2" t="s">
        <v>26</v>
      </c>
      <c r="M24" s="5" t="s">
        <v>48</v>
      </c>
      <c r="N24" s="5" t="s">
        <v>24</v>
      </c>
      <c r="O24" s="5" t="s">
        <v>37</v>
      </c>
      <c r="S24" s="6"/>
      <c r="T24" s="6"/>
      <c r="U24" s="6"/>
      <c r="V24" s="6"/>
      <c r="W24" s="3">
        <v>46005.024750185185</v>
      </c>
      <c r="X24" s="6"/>
    </row>
    <row r="25">
      <c r="A25" s="1" t="str">
        <f>IFERROR(__xludf.DUMMYFUNCTION("""COMPUTED_VALUE"""),"2510-536")</f>
        <v>2510-536</v>
      </c>
      <c r="B25" s="1" t="str">
        <f>IFERROR(__xludf.DUMMYFUNCTION("""COMPUTED_VALUE"""),"Bernhardt-Ventura-Attached-ADU")</f>
        <v>Bernhardt-Ventura-Attached-ADU</v>
      </c>
      <c r="C25" s="1" t="str">
        <f>IFERROR(__xludf.DUMMYFUNCTION("""COMPUTED_VALUE"""),"A003.1 Client Review - Waiting on Others")</f>
        <v>A003.1 Client Review - Waiting on Others</v>
      </c>
      <c r="D25" s="4">
        <f>IFERROR(__xludf.DUMMYFUNCTION("""COMPUTED_VALUE"""),1254048.0)</f>
        <v>1254048</v>
      </c>
      <c r="E25" s="5" t="s">
        <v>34</v>
      </c>
      <c r="J25" s="2" t="s">
        <v>51</v>
      </c>
      <c r="K25" s="2" t="s">
        <v>26</v>
      </c>
      <c r="L25" s="2" t="s">
        <v>33</v>
      </c>
      <c r="M25" s="5" t="s">
        <v>37</v>
      </c>
      <c r="N25" s="5" t="s">
        <v>27</v>
      </c>
      <c r="O25" s="5" t="s">
        <v>37</v>
      </c>
      <c r="S25" s="6"/>
      <c r="T25" s="6"/>
      <c r="U25" s="6"/>
      <c r="V25" s="6"/>
      <c r="W25" s="3">
        <v>46005.02476586806</v>
      </c>
      <c r="X25" s="6"/>
    </row>
    <row r="26">
      <c r="A26" s="1" t="str">
        <f>IFERROR(__xludf.DUMMYFUNCTION("""COMPUTED_VALUE"""),"2510-535")</f>
        <v>2510-535</v>
      </c>
      <c r="B26" s="1" t="str">
        <f>IFERROR(__xludf.DUMMYFUNCTION("""COMPUTED_VALUE"""),"Ward-Coronado-Attached-ADU")</f>
        <v>Ward-Coronado-Attached-ADU</v>
      </c>
      <c r="C26" s="1" t="str">
        <f>IFERROR(__xludf.DUMMYFUNCTION("""COMPUTED_VALUE"""),"A004 Designer SOW-CD Setup")</f>
        <v>A004 Designer SOW-CD Setup</v>
      </c>
      <c r="D26" s="4">
        <f>IFERROR(__xludf.DUMMYFUNCTION("""COMPUTED_VALUE"""),1253922.0)</f>
        <v>1253922</v>
      </c>
      <c r="E26" s="5" t="s">
        <v>34</v>
      </c>
      <c r="J26" s="2" t="s">
        <v>23</v>
      </c>
      <c r="K26" s="2" t="s">
        <v>26</v>
      </c>
      <c r="L26" s="2" t="s">
        <v>33</v>
      </c>
      <c r="M26" s="5" t="s">
        <v>48</v>
      </c>
      <c r="N26" s="5" t="s">
        <v>24</v>
      </c>
      <c r="O26" s="5" t="s">
        <v>48</v>
      </c>
      <c r="S26" s="6"/>
      <c r="T26" s="6"/>
      <c r="U26" s="6"/>
      <c r="V26" s="6"/>
      <c r="W26" s="3">
        <v>46005.02483219907</v>
      </c>
      <c r="X26" s="6"/>
    </row>
    <row r="27">
      <c r="A27" s="1" t="str">
        <f>IFERROR(__xludf.DUMMYFUNCTION("""COMPUTED_VALUE"""),"2510-534")</f>
        <v>2510-534</v>
      </c>
      <c r="B27" s="1" t="str">
        <f>IFERROR(__xludf.DUMMYFUNCTION("""COMPUTED_VALUE"""),"Bamforth-LA-Triplex-Remodel")</f>
        <v>Bamforth-LA-Triplex-Remodel</v>
      </c>
      <c r="C27" s="1" t="str">
        <f>IFERROR(__xludf.DUMMYFUNCTION("""COMPUTED_VALUE"""),"Paused - Stalled by 3rd Party")</f>
        <v>Paused - Stalled by 3rd Party</v>
      </c>
      <c r="D27" s="4">
        <f>IFERROR(__xludf.DUMMYFUNCTION("""COMPUTED_VALUE"""),1253831.0)</f>
        <v>1253831</v>
      </c>
      <c r="E27" s="5" t="s">
        <v>34</v>
      </c>
      <c r="F27" s="2" t="s">
        <v>21</v>
      </c>
      <c r="I27" s="2" t="s">
        <v>53</v>
      </c>
      <c r="J27" s="2" t="s">
        <v>26</v>
      </c>
      <c r="K27" s="2" t="s">
        <v>25</v>
      </c>
      <c r="L27" s="2" t="s">
        <v>40</v>
      </c>
      <c r="M27" s="5" t="s">
        <v>27</v>
      </c>
      <c r="N27" s="5" t="s">
        <v>27</v>
      </c>
      <c r="O27" s="5" t="s">
        <v>48</v>
      </c>
      <c r="S27" s="6"/>
      <c r="T27" s="6"/>
      <c r="U27" s="6"/>
      <c r="V27" s="6"/>
      <c r="W27" s="3">
        <v>46005.02486388889</v>
      </c>
      <c r="X27" s="3">
        <v>46006.25554309028</v>
      </c>
    </row>
    <row r="28">
      <c r="A28" s="1" t="str">
        <f>IFERROR(__xludf.DUMMYFUNCTION("""COMPUTED_VALUE"""),"2510-533")</f>
        <v>2510-533</v>
      </c>
      <c r="B28" s="1" t="str">
        <f>IFERROR(__xludf.DUMMYFUNCTION("""COMPUTED_VALUE"""),"Luviano-Murrieta-Taqueria-Remodel")</f>
        <v>Luviano-Murrieta-Taqueria-Remodel</v>
      </c>
      <c r="C28" s="1" t="str">
        <f>IFERROR(__xludf.DUMMYFUNCTION("""COMPUTED_VALUE"""),"Paused - Stalled by 3rd Party")</f>
        <v>Paused - Stalled by 3rd Party</v>
      </c>
      <c r="D28" s="4">
        <f>IFERROR(__xludf.DUMMYFUNCTION("""COMPUTED_VALUE"""),1252326.0)</f>
        <v>1252326</v>
      </c>
      <c r="E28" s="5" t="s">
        <v>34</v>
      </c>
      <c r="J28" s="2" t="s">
        <v>49</v>
      </c>
      <c r="K28" s="2" t="s">
        <v>47</v>
      </c>
      <c r="L28" s="2" t="s">
        <v>21</v>
      </c>
      <c r="M28" s="5" t="s">
        <v>48</v>
      </c>
      <c r="N28" s="5" t="s">
        <v>27</v>
      </c>
      <c r="O28" s="2" t="s">
        <v>27</v>
      </c>
      <c r="S28" s="6"/>
      <c r="T28" s="6"/>
      <c r="U28" s="3">
        <v>46006.99881634259</v>
      </c>
      <c r="V28" s="6"/>
      <c r="W28" s="6"/>
      <c r="X28" s="6"/>
    </row>
    <row r="29">
      <c r="A29" s="1" t="str">
        <f>IFERROR(__xludf.DUMMYFUNCTION("""COMPUTED_VALUE"""),"2510-532")</f>
        <v>2510-532</v>
      </c>
      <c r="B29" s="1" t="str">
        <f>IFERROR(__xludf.DUMMYFUNCTION("""COMPUTED_VALUE"""),"Garcia-Palmdale-New-SFH-ADU")</f>
        <v>Garcia-Palmdale-New-SFH-ADU</v>
      </c>
      <c r="C29" s="1" t="str">
        <f>IFERROR(__xludf.DUMMYFUNCTION("""COMPUTED_VALUE"""),"A005 Architectural &amp; Structural (CD's)")</f>
        <v>A005 Architectural &amp; Structural (CD's)</v>
      </c>
      <c r="D29" s="4">
        <f>IFERROR(__xludf.DUMMYFUNCTION("""COMPUTED_VALUE"""),1252267.0)</f>
        <v>1252267</v>
      </c>
      <c r="E29" s="2" t="s">
        <v>22</v>
      </c>
      <c r="J29" s="2" t="s">
        <v>21</v>
      </c>
      <c r="K29" s="2" t="s">
        <v>35</v>
      </c>
      <c r="L29" s="2" t="s">
        <v>35</v>
      </c>
      <c r="M29" s="5" t="s">
        <v>24</v>
      </c>
      <c r="N29" s="5" t="s">
        <v>37</v>
      </c>
      <c r="O29" s="5" t="s">
        <v>44</v>
      </c>
      <c r="S29" s="6"/>
      <c r="T29" s="6"/>
      <c r="U29" s="6"/>
      <c r="V29" s="3">
        <v>46006.276897303236</v>
      </c>
      <c r="W29" s="3">
        <v>46006.37090328704</v>
      </c>
      <c r="X29" s="6"/>
    </row>
    <row r="30">
      <c r="A30" s="1" t="str">
        <f>IFERROR(__xludf.DUMMYFUNCTION("""COMPUTED_VALUE"""),"2510-531")</f>
        <v>2510-531</v>
      </c>
      <c r="B30" s="1" t="str">
        <f>IFERROR(__xludf.DUMMYFUNCTION("""COMPUTED_VALUE"""),"Levin-Bacon-Topanga-SFR")</f>
        <v>Levin-Bacon-Topanga-SFR</v>
      </c>
      <c r="C30" s="1" t="str">
        <f>IFERROR(__xludf.DUMMYFUNCTION("""COMPUTED_VALUE"""),"A005.9 - Submitted to Planning")</f>
        <v>A005.9 - Submitted to Planning</v>
      </c>
      <c r="D30" s="4">
        <f>IFERROR(__xludf.DUMMYFUNCTION("""COMPUTED_VALUE"""),1248155.0)</f>
        <v>1248155</v>
      </c>
      <c r="E30" s="2" t="s">
        <v>21</v>
      </c>
      <c r="G30" s="2" t="s">
        <v>44</v>
      </c>
      <c r="J30" s="2" t="s">
        <v>23</v>
      </c>
      <c r="K30" s="2" t="s">
        <v>22</v>
      </c>
      <c r="L30" s="2" t="s">
        <v>23</v>
      </c>
      <c r="M30" s="5" t="s">
        <v>37</v>
      </c>
      <c r="N30" s="2" t="s">
        <v>37</v>
      </c>
      <c r="O30" s="5" t="s">
        <v>48</v>
      </c>
      <c r="S30" s="6"/>
      <c r="T30" s="3">
        <v>46006.39056515046</v>
      </c>
      <c r="U30" s="6"/>
      <c r="V30" s="3">
        <v>46007.007578715275</v>
      </c>
      <c r="W30" s="6"/>
      <c r="X30" s="6"/>
    </row>
    <row r="31">
      <c r="A31" s="1" t="str">
        <f>IFERROR(__xludf.DUMMYFUNCTION("""COMPUTED_VALUE"""),"2510-530")</f>
        <v>2510-530</v>
      </c>
      <c r="B31" s="1" t="str">
        <f>IFERROR(__xludf.DUMMYFUNCTION("""COMPUTED_VALUE"""),"Hull-Castaic-Dance-Hall-Plans")</f>
        <v>Hull-Castaic-Dance-Hall-Plans</v>
      </c>
      <c r="C31" s="1" t="str">
        <f>IFERROR(__xludf.DUMMYFUNCTION("""COMPUTED_VALUE"""),"A007 Plan Detailing for Submittal")</f>
        <v>A007 Plan Detailing for Submittal</v>
      </c>
      <c r="D31" s="4">
        <f>IFERROR(__xludf.DUMMYFUNCTION("""COMPUTED_VALUE"""),1248231.0)</f>
        <v>1248231</v>
      </c>
      <c r="E31" s="5" t="s">
        <v>20</v>
      </c>
      <c r="J31" s="2" t="s">
        <v>36</v>
      </c>
      <c r="K31" s="2" t="s">
        <v>22</v>
      </c>
      <c r="L31" s="2" t="s">
        <v>23</v>
      </c>
      <c r="M31" s="5" t="s">
        <v>27</v>
      </c>
      <c r="N31" s="5" t="s">
        <v>24</v>
      </c>
      <c r="O31" s="5" t="s">
        <v>27</v>
      </c>
      <c r="S31" s="6"/>
      <c r="T31" s="6"/>
      <c r="U31" s="6"/>
      <c r="V31" s="6"/>
      <c r="W31" s="6"/>
      <c r="X31" s="6"/>
    </row>
    <row r="32">
      <c r="A32" s="1" t="str">
        <f>IFERROR(__xludf.DUMMYFUNCTION("""COMPUTED_VALUE"""),"2510-529")</f>
        <v>2510-529</v>
      </c>
      <c r="B32" s="1" t="str">
        <f>IFERROR(__xludf.DUMMYFUNCTION("""COMPUTED_VALUE"""),"Fontenot-La-Quinta-Remodel")</f>
        <v>Fontenot-La-Quinta-Remodel</v>
      </c>
      <c r="C32" s="1" t="str">
        <f>IFERROR(__xludf.DUMMYFUNCTION("""COMPUTED_VALUE"""),"Approved - Construction Phase")</f>
        <v>Approved - Construction Phase</v>
      </c>
      <c r="D32" s="4">
        <f>IFERROR(__xludf.DUMMYFUNCTION("""COMPUTED_VALUE"""),1248262.0)</f>
        <v>1248262</v>
      </c>
      <c r="E32" s="5" t="s">
        <v>34</v>
      </c>
      <c r="J32" s="2" t="s">
        <v>35</v>
      </c>
      <c r="K32" s="2" t="s">
        <v>23</v>
      </c>
      <c r="L32" s="2" t="s">
        <v>36</v>
      </c>
      <c r="M32" s="5" t="s">
        <v>24</v>
      </c>
      <c r="N32" s="5" t="s">
        <v>48</v>
      </c>
      <c r="O32" s="5" t="s">
        <v>48</v>
      </c>
      <c r="S32" s="6"/>
      <c r="T32" s="6"/>
      <c r="U32" s="6"/>
      <c r="V32" s="6"/>
      <c r="W32" s="6"/>
      <c r="X32" s="6"/>
    </row>
    <row r="33">
      <c r="A33" s="1" t="str">
        <f>IFERROR(__xludf.DUMMYFUNCTION("""COMPUTED_VALUE"""),"2510-528")</f>
        <v>2510-528</v>
      </c>
      <c r="B33" s="1" t="str">
        <f>IFERROR(__xludf.DUMMYFUNCTION("""COMPUTED_VALUE"""),"Patel-SD-Plan-Takeover")</f>
        <v>Patel-SD-Plan-Takeover</v>
      </c>
      <c r="C33" s="1" t="str">
        <f>IFERROR(__xludf.DUMMYFUNCTION("""COMPUTED_VALUE"""),"Completed - Sent to Client")</f>
        <v>Completed - Sent to Client</v>
      </c>
      <c r="D33" s="4">
        <f>IFERROR(__xludf.DUMMYFUNCTION("""COMPUTED_VALUE"""),1245820.0)</f>
        <v>1245820</v>
      </c>
      <c r="E33" s="5" t="s">
        <v>34</v>
      </c>
      <c r="J33" s="2" t="s">
        <v>42</v>
      </c>
      <c r="K33" s="2" t="s">
        <v>22</v>
      </c>
      <c r="L33" s="2" t="s">
        <v>40</v>
      </c>
      <c r="M33" s="5" t="s">
        <v>24</v>
      </c>
      <c r="N33" s="2" t="s">
        <v>37</v>
      </c>
      <c r="O33" s="5" t="s">
        <v>48</v>
      </c>
      <c r="S33" s="6"/>
      <c r="T33" s="3">
        <v>46006.38618465277</v>
      </c>
      <c r="U33" s="6"/>
      <c r="V33" s="6"/>
      <c r="W33" s="6"/>
      <c r="X33" s="6"/>
    </row>
    <row r="34">
      <c r="A34" s="1" t="str">
        <f>IFERROR(__xludf.DUMMYFUNCTION("""COMPUTED_VALUE"""),"2510-527")</f>
        <v>2510-527</v>
      </c>
      <c r="B34" s="1" t="str">
        <f>IFERROR(__xludf.DUMMYFUNCTION("""COMPUTED_VALUE"""),"Stephens-Spring-Valley-Detached-ADU")</f>
        <v>Stephens-Spring-Valley-Detached-ADU</v>
      </c>
      <c r="C34" s="1" t="str">
        <f>IFERROR(__xludf.DUMMYFUNCTION("""COMPUTED_VALUE"""),"A007.8 Pending Submittal")</f>
        <v>A007.8 Pending Submittal</v>
      </c>
      <c r="D34" s="4">
        <f>IFERROR(__xludf.DUMMYFUNCTION("""COMPUTED_VALUE"""),1242686.0)</f>
        <v>1242686</v>
      </c>
      <c r="E34" s="5" t="s">
        <v>20</v>
      </c>
      <c r="J34" s="2" t="s">
        <v>40</v>
      </c>
      <c r="K34" s="2" t="s">
        <v>21</v>
      </c>
      <c r="L34" s="2" t="s">
        <v>49</v>
      </c>
      <c r="M34" s="5" t="s">
        <v>44</v>
      </c>
      <c r="N34" s="2" t="s">
        <v>37</v>
      </c>
      <c r="O34" s="5" t="s">
        <v>37</v>
      </c>
      <c r="S34" s="6"/>
      <c r="T34" s="3">
        <v>46006.9819403588</v>
      </c>
      <c r="U34" s="6"/>
      <c r="V34" s="6"/>
      <c r="W34" s="6"/>
      <c r="X34" s="6"/>
    </row>
    <row r="35">
      <c r="A35" s="1" t="str">
        <f>IFERROR(__xludf.DUMMYFUNCTION("""COMPUTED_VALUE"""),"2509-526")</f>
        <v>2509-526</v>
      </c>
      <c r="B35" s="1" t="str">
        <f>IFERROR(__xludf.DUMMYFUNCTION("""COMPUTED_VALUE"""),"Stamper-San-Diego-GADU")</f>
        <v>Stamper-San-Diego-GADU</v>
      </c>
      <c r="C35" s="1" t="str">
        <f>IFERROR(__xludf.DUMMYFUNCTION("""COMPUTED_VALUE"""),"A007.8 Pending Submittal")</f>
        <v>A007.8 Pending Submittal</v>
      </c>
      <c r="D35" s="4">
        <f>IFERROR(__xludf.DUMMYFUNCTION("""COMPUTED_VALUE"""),1239185.0)</f>
        <v>1239185</v>
      </c>
      <c r="E35" s="5" t="s">
        <v>34</v>
      </c>
      <c r="J35" s="2" t="s">
        <v>32</v>
      </c>
      <c r="K35" s="2" t="s">
        <v>36</v>
      </c>
      <c r="L35" s="2" t="s">
        <v>25</v>
      </c>
      <c r="M35" s="5" t="s">
        <v>44</v>
      </c>
      <c r="N35" s="5" t="s">
        <v>37</v>
      </c>
      <c r="O35" s="5" t="s">
        <v>48</v>
      </c>
      <c r="S35" s="6"/>
      <c r="T35" s="6"/>
      <c r="U35" s="6"/>
      <c r="V35" s="6"/>
      <c r="W35" s="6"/>
      <c r="X35" s="6"/>
    </row>
    <row r="36">
      <c r="A36" s="1" t="str">
        <f>IFERROR(__xludf.DUMMYFUNCTION("""COMPUTED_VALUE"""),"2509-525")</f>
        <v>2509-525</v>
      </c>
      <c r="B36" s="1" t="str">
        <f>IFERROR(__xludf.DUMMYFUNCTION("""COMPUTED_VALUE"""),"Koch-Malibu-Fire-Rebuild")</f>
        <v>Koch-Malibu-Fire-Rebuild</v>
      </c>
      <c r="C36" s="1" t="str">
        <f>IFERROR(__xludf.DUMMYFUNCTION("""COMPUTED_VALUE"""),"A008.2 Architectural Comment Responses")</f>
        <v>A008.2 Architectural Comment Responses</v>
      </c>
      <c r="D36" s="4">
        <f>IFERROR(__xludf.DUMMYFUNCTION("""COMPUTED_VALUE"""),1239089.0)</f>
        <v>1239089</v>
      </c>
      <c r="E36" s="2" t="s">
        <v>21</v>
      </c>
      <c r="G36" s="2" t="s">
        <v>54</v>
      </c>
      <c r="J36" s="2" t="s">
        <v>52</v>
      </c>
      <c r="K36" s="2" t="s">
        <v>33</v>
      </c>
      <c r="L36" s="2" t="s">
        <v>42</v>
      </c>
      <c r="N36" s="5" t="s">
        <v>48</v>
      </c>
      <c r="O36" s="5" t="s">
        <v>27</v>
      </c>
      <c r="S36" s="6"/>
      <c r="T36" s="6"/>
      <c r="U36" s="6"/>
      <c r="V36" s="3">
        <v>46006.99169436343</v>
      </c>
      <c r="W36" s="3">
        <v>46006.986467905095</v>
      </c>
      <c r="X36" s="6"/>
    </row>
    <row r="37">
      <c r="A37" s="1" t="str">
        <f>IFERROR(__xludf.DUMMYFUNCTION("""COMPUTED_VALUE"""),"2509-524")</f>
        <v>2509-524</v>
      </c>
      <c r="B37" s="1" t="str">
        <f>IFERROR(__xludf.DUMMYFUNCTION("""COMPUTED_VALUE"""),"Franco-Calabasas-Addition")</f>
        <v>Franco-Calabasas-Addition</v>
      </c>
      <c r="C37" s="1" t="str">
        <f>IFERROR(__xludf.DUMMYFUNCTION("""COMPUTED_VALUE"""),"A006.5 - Structural Engineering")</f>
        <v>A006.5 - Structural Engineering</v>
      </c>
      <c r="D37" s="4">
        <f>IFERROR(__xludf.DUMMYFUNCTION("""COMPUTED_VALUE"""),1236273.0)</f>
        <v>1236273</v>
      </c>
      <c r="E37" s="2" t="s">
        <v>21</v>
      </c>
      <c r="G37" s="2" t="s">
        <v>55</v>
      </c>
      <c r="J37" s="2" t="s">
        <v>47</v>
      </c>
      <c r="K37" s="2" t="s">
        <v>40</v>
      </c>
      <c r="L37" s="2" t="s">
        <v>52</v>
      </c>
      <c r="M37" s="5" t="s">
        <v>27</v>
      </c>
      <c r="N37" s="5" t="s">
        <v>37</v>
      </c>
      <c r="S37" s="6"/>
      <c r="T37" s="6"/>
      <c r="U37" s="6"/>
      <c r="V37" s="3">
        <v>46006.99173702546</v>
      </c>
      <c r="W37" s="3">
        <v>46006.98757002315</v>
      </c>
      <c r="X37" s="6"/>
    </row>
    <row r="38">
      <c r="A38" s="1" t="str">
        <f>IFERROR(__xludf.DUMMYFUNCTION("""COMPUTED_VALUE"""),"2509-523")</f>
        <v>2509-523</v>
      </c>
      <c r="B38" s="1" t="str">
        <f>IFERROR(__xludf.DUMMYFUNCTION("""COMPUTED_VALUE"""),"Chang-Redondo-Loft-Clearance")</f>
        <v>Chang-Redondo-Loft-Clearance</v>
      </c>
      <c r="C38" s="1" t="str">
        <f>IFERROR(__xludf.DUMMYFUNCTION("""COMPUTED_VALUE"""),"A006.5 - Structural Engineering")</f>
        <v>A006.5 - Structural Engineering</v>
      </c>
      <c r="D38" s="4">
        <f>IFERROR(__xludf.DUMMYFUNCTION("""COMPUTED_VALUE"""),1236248.0)</f>
        <v>1236248</v>
      </c>
      <c r="E38" s="2" t="s">
        <v>21</v>
      </c>
      <c r="G38" s="2" t="s">
        <v>24</v>
      </c>
      <c r="J38" s="2" t="s">
        <v>22</v>
      </c>
      <c r="K38" s="2" t="s">
        <v>23</v>
      </c>
      <c r="L38" s="2" t="s">
        <v>36</v>
      </c>
      <c r="M38" s="2" t="s">
        <v>24</v>
      </c>
      <c r="N38" s="5" t="s">
        <v>24</v>
      </c>
      <c r="O38" s="5" t="s">
        <v>27</v>
      </c>
      <c r="S38" s="3">
        <v>46006.56993142361</v>
      </c>
      <c r="T38" s="6"/>
      <c r="U38" s="6"/>
      <c r="V38" s="3">
        <v>46006.99215839121</v>
      </c>
      <c r="W38" s="6"/>
      <c r="X38" s="6"/>
    </row>
    <row r="39">
      <c r="A39" s="1" t="str">
        <f>IFERROR(__xludf.DUMMYFUNCTION("""COMPUTED_VALUE"""),"2509-522")</f>
        <v>2509-522</v>
      </c>
      <c r="B39" s="1" t="str">
        <f>IFERROR(__xludf.DUMMYFUNCTION("""COMPUTED_VALUE"""),"Solano-Gatton-Dana-Point-Interior-Remodel")</f>
        <v>Solano-Gatton-Dana-Point-Interior-Remodel</v>
      </c>
      <c r="C39" s="1" t="str">
        <f>IFERROR(__xludf.DUMMYFUNCTION("""COMPUTED_VALUE"""),"A008.2 Architectural Comment Responses")</f>
        <v>A008.2 Architectural Comment Responses</v>
      </c>
      <c r="D39" s="4">
        <f>IFERROR(__xludf.DUMMYFUNCTION("""COMPUTED_VALUE"""),1233834.0)</f>
        <v>1233834</v>
      </c>
      <c r="E39" s="2" t="s">
        <v>21</v>
      </c>
      <c r="G39" s="2" t="s">
        <v>24</v>
      </c>
      <c r="J39" s="2" t="s">
        <v>40</v>
      </c>
      <c r="K39" s="2" t="s">
        <v>39</v>
      </c>
      <c r="L39" s="2" t="s">
        <v>43</v>
      </c>
      <c r="M39" s="5" t="s">
        <v>24</v>
      </c>
      <c r="N39" s="5" t="s">
        <v>48</v>
      </c>
      <c r="O39" s="5" t="s">
        <v>44</v>
      </c>
      <c r="S39" s="6"/>
      <c r="T39" s="6"/>
      <c r="U39" s="6"/>
      <c r="V39" s="3">
        <v>46006.992589120375</v>
      </c>
      <c r="W39" s="6"/>
      <c r="X39" s="6"/>
    </row>
    <row r="40">
      <c r="A40" s="1" t="str">
        <f>IFERROR(__xludf.DUMMYFUNCTION("""COMPUTED_VALUE"""),"2509-521")</f>
        <v>2509-521</v>
      </c>
      <c r="B40" s="1" t="str">
        <f>IFERROR(__xludf.DUMMYFUNCTION("""COMPUTED_VALUE"""),"Bala-Lawndale-Remodel-Structural-Only")</f>
        <v>Bala-Lawndale-Remodel-Structural-Only</v>
      </c>
      <c r="C40" s="1" t="str">
        <f>IFERROR(__xludf.DUMMYFUNCTION("""COMPUTED_VALUE"""),"A009 Resubmitted")</f>
        <v>A009 Resubmitted</v>
      </c>
      <c r="D40" s="4">
        <f>IFERROR(__xludf.DUMMYFUNCTION("""COMPUTED_VALUE"""),1232640.0)</f>
        <v>1232640</v>
      </c>
      <c r="E40" s="5" t="s">
        <v>34</v>
      </c>
      <c r="J40" s="2" t="s">
        <v>21</v>
      </c>
      <c r="K40" s="2" t="s">
        <v>42</v>
      </c>
      <c r="L40" s="2" t="s">
        <v>25</v>
      </c>
      <c r="M40" s="5" t="s">
        <v>24</v>
      </c>
      <c r="N40" s="5" t="s">
        <v>37</v>
      </c>
      <c r="O40" s="5" t="s">
        <v>44</v>
      </c>
      <c r="S40" s="3">
        <v>46005.12264607639</v>
      </c>
      <c r="T40" s="6"/>
      <c r="U40" s="6"/>
      <c r="V40" s="6"/>
      <c r="W40" s="6"/>
      <c r="X40" s="6"/>
    </row>
    <row r="41">
      <c r="A41" s="1" t="str">
        <f>IFERROR(__xludf.DUMMYFUNCTION("""COMPUTED_VALUE"""),"2509-520")</f>
        <v>2509-520</v>
      </c>
      <c r="B41" s="1" t="str">
        <f>IFERROR(__xludf.DUMMYFUNCTION("""COMPUTED_VALUE"""),"Monroe-Corona-Lot-Feasibility")</f>
        <v>Monroe-Corona-Lot-Feasibility</v>
      </c>
      <c r="C41" s="1" t="str">
        <f>IFERROR(__xludf.DUMMYFUNCTION("""COMPUTED_VALUE"""),"Completed - Sent to Client")</f>
        <v>Completed - Sent to Client</v>
      </c>
      <c r="D41" s="4">
        <f>IFERROR(__xludf.DUMMYFUNCTION("""COMPUTED_VALUE"""),1232634.0)</f>
        <v>1232634</v>
      </c>
      <c r="E41" s="5" t="s">
        <v>34</v>
      </c>
      <c r="J41" s="2" t="s">
        <v>22</v>
      </c>
      <c r="K41" s="2" t="s">
        <v>50</v>
      </c>
      <c r="L41" s="2" t="s">
        <v>43</v>
      </c>
      <c r="M41" s="5" t="s">
        <v>24</v>
      </c>
      <c r="N41" s="5" t="s">
        <v>24</v>
      </c>
      <c r="O41" s="5" t="s">
        <v>37</v>
      </c>
      <c r="S41" s="6"/>
      <c r="T41" s="6"/>
      <c r="U41" s="6"/>
      <c r="V41" s="3">
        <v>46006.21563107639</v>
      </c>
      <c r="W41" s="6"/>
      <c r="X41" s="6"/>
    </row>
    <row r="42">
      <c r="A42" s="1" t="str">
        <f>IFERROR(__xludf.DUMMYFUNCTION("""COMPUTED_VALUE"""),"2509-519")</f>
        <v>2509-519</v>
      </c>
      <c r="B42" s="1" t="str">
        <f>IFERROR(__xludf.DUMMYFUNCTION("""COMPUTED_VALUE"""),"Vera-Flores-Escondido-Large-Covered-Patio")</f>
        <v>Vera-Flores-Escondido-Large-Covered-Patio</v>
      </c>
      <c r="C42" s="1" t="str">
        <f>IFERROR(__xludf.DUMMYFUNCTION("""COMPUTED_VALUE"""),"A003 Preliminary Design (Schematic Design)")</f>
        <v>A003 Preliminary Design (Schematic Design)</v>
      </c>
      <c r="D42" s="4">
        <f>IFERROR(__xludf.DUMMYFUNCTION("""COMPUTED_VALUE"""),1232625.0)</f>
        <v>1232625</v>
      </c>
      <c r="E42" s="2" t="s">
        <v>21</v>
      </c>
      <c r="G42" s="2" t="s">
        <v>24</v>
      </c>
      <c r="J42" s="2" t="s">
        <v>36</v>
      </c>
      <c r="K42" s="2" t="s">
        <v>50</v>
      </c>
      <c r="L42" s="2" t="s">
        <v>22</v>
      </c>
      <c r="M42" s="5" t="s">
        <v>37</v>
      </c>
      <c r="N42" s="5" t="s">
        <v>27</v>
      </c>
      <c r="O42" s="2" t="s">
        <v>24</v>
      </c>
      <c r="S42" s="6"/>
      <c r="T42" s="6"/>
      <c r="U42" s="3">
        <v>46006.390342280094</v>
      </c>
      <c r="V42" s="3">
        <v>46006.99265854167</v>
      </c>
      <c r="W42" s="3">
        <v>46006.22161707176</v>
      </c>
      <c r="X42" s="6"/>
    </row>
    <row r="43">
      <c r="A43" s="1" t="str">
        <f>IFERROR(__xludf.DUMMYFUNCTION("""COMPUTED_VALUE"""),"2509-518")</f>
        <v>2509-518</v>
      </c>
      <c r="B43" s="1" t="str">
        <f>IFERROR(__xludf.DUMMYFUNCTION("""COMPUTED_VALUE"""),"Dayne-SB-Remodel-Structural-Only")</f>
        <v>Dayne-SB-Remodel-Structural-Only</v>
      </c>
      <c r="C43" s="1" t="str">
        <f>IFERROR(__xludf.DUMMYFUNCTION("""COMPUTED_VALUE"""),"A008 Submitted - Waiting on Others")</f>
        <v>A008 Submitted - Waiting on Others</v>
      </c>
      <c r="D43" s="4">
        <f>IFERROR(__xludf.DUMMYFUNCTION("""COMPUTED_VALUE"""),1232389.0)</f>
        <v>1232389</v>
      </c>
      <c r="E43" s="5" t="s">
        <v>20</v>
      </c>
      <c r="J43" s="2" t="s">
        <v>39</v>
      </c>
      <c r="K43" s="2" t="s">
        <v>39</v>
      </c>
      <c r="L43" s="2" t="s">
        <v>25</v>
      </c>
      <c r="M43" s="5" t="s">
        <v>27</v>
      </c>
      <c r="N43" s="5" t="s">
        <v>24</v>
      </c>
      <c r="O43" s="5" t="s">
        <v>27</v>
      </c>
      <c r="S43" s="6"/>
      <c r="T43" s="3">
        <v>46005.25664104166</v>
      </c>
      <c r="U43" s="6"/>
      <c r="V43" s="6"/>
      <c r="W43" s="6"/>
      <c r="X43" s="6"/>
    </row>
    <row r="44">
      <c r="A44" s="1" t="str">
        <f>IFERROR(__xludf.DUMMYFUNCTION("""COMPUTED_VALUE"""),"2509-517")</f>
        <v>2509-517</v>
      </c>
      <c r="B44" s="1" t="str">
        <f>IFERROR(__xludf.DUMMYFUNCTION("""COMPUTED_VALUE"""),"Honomichl-Lompoc-Remodel-and-Sunroom")</f>
        <v>Honomichl-Lompoc-Remodel-and-Sunroom</v>
      </c>
      <c r="C44" s="1" t="str">
        <f>IFERROR(__xludf.DUMMYFUNCTION("""COMPUTED_VALUE"""),"A007 Plan Detailing for Submittal")</f>
        <v>A007 Plan Detailing for Submittal</v>
      </c>
      <c r="D44" s="4">
        <f>IFERROR(__xludf.DUMMYFUNCTION("""COMPUTED_VALUE"""),1232321.0)</f>
        <v>1232321</v>
      </c>
      <c r="E44" s="2" t="s">
        <v>21</v>
      </c>
      <c r="G44" s="2" t="s">
        <v>24</v>
      </c>
      <c r="J44" s="2" t="s">
        <v>42</v>
      </c>
      <c r="K44" s="2" t="s">
        <v>40</v>
      </c>
      <c r="L44" s="2" t="s">
        <v>47</v>
      </c>
      <c r="M44" s="5" t="s">
        <v>48</v>
      </c>
      <c r="O44" s="5" t="s">
        <v>37</v>
      </c>
      <c r="S44" s="6"/>
      <c r="T44" s="6"/>
      <c r="U44" s="6"/>
      <c r="V44" s="3">
        <v>46006.992285</v>
      </c>
      <c r="W44" s="3">
        <v>46006.55071387731</v>
      </c>
      <c r="X44" s="6"/>
    </row>
    <row r="45">
      <c r="A45" s="1" t="str">
        <f>IFERROR(__xludf.DUMMYFUNCTION("""COMPUTED_VALUE"""),"2509-516")</f>
        <v>2509-516</v>
      </c>
      <c r="B45" s="1" t="str">
        <f>IFERROR(__xludf.DUMMYFUNCTION("""COMPUTED_VALUE"""),"Chassiakos-Westchester-Beam-and-Sheer-Wall")</f>
        <v>Chassiakos-Westchester-Beam-and-Sheer-Wall</v>
      </c>
      <c r="C45" s="1" t="str">
        <f>IFERROR(__xludf.DUMMYFUNCTION("""COMPUTED_VALUE"""),"Approved - Construction Phase")</f>
        <v>Approved - Construction Phase</v>
      </c>
      <c r="D45" s="4">
        <f>IFERROR(__xludf.DUMMYFUNCTION("""COMPUTED_VALUE"""),1232286.0)</f>
        <v>1232286</v>
      </c>
      <c r="E45" s="5" t="s">
        <v>34</v>
      </c>
      <c r="F45" s="2"/>
      <c r="J45" s="2" t="s">
        <v>39</v>
      </c>
      <c r="K45" s="2" t="s">
        <v>35</v>
      </c>
      <c r="L45" s="2" t="s">
        <v>51</v>
      </c>
      <c r="M45" s="5" t="s">
        <v>48</v>
      </c>
      <c r="N45" s="5" t="s">
        <v>37</v>
      </c>
      <c r="O45" s="5" t="s">
        <v>37</v>
      </c>
      <c r="S45" s="6"/>
      <c r="T45" s="6"/>
      <c r="U45" s="6"/>
      <c r="V45" s="3">
        <v>46005.5061069213</v>
      </c>
      <c r="W45" s="3">
        <v>46005.55079633102</v>
      </c>
      <c r="X45" s="6"/>
    </row>
    <row r="46">
      <c r="A46" s="1" t="str">
        <f>IFERROR(__xludf.DUMMYFUNCTION("""COMPUTED_VALUE"""),"2509-515")</f>
        <v>2509-515</v>
      </c>
      <c r="B46" s="1" t="str">
        <f>IFERROR(__xludf.DUMMYFUNCTION("""COMPUTED_VALUE"""),"Harvey-Corona-Mini-Mart-Tis")</f>
        <v>Harvey-Corona-Mini-Mart-Tis</v>
      </c>
      <c r="C46" s="1" t="str">
        <f>IFERROR(__xludf.DUMMYFUNCTION("""COMPUTED_VALUE"""),"A005.8 - Planning Submittal Pending")</f>
        <v>A005.8 - Planning Submittal Pending</v>
      </c>
      <c r="D46" s="4">
        <f>IFERROR(__xludf.DUMMYFUNCTION("""COMPUTED_VALUE"""),1230624.0)</f>
        <v>1230624</v>
      </c>
      <c r="E46" s="2" t="s">
        <v>21</v>
      </c>
      <c r="G46" s="2" t="s">
        <v>24</v>
      </c>
      <c r="J46" s="2" t="s">
        <v>35</v>
      </c>
      <c r="K46" s="2" t="s">
        <v>22</v>
      </c>
      <c r="L46" s="2" t="s">
        <v>40</v>
      </c>
      <c r="O46" s="5" t="s">
        <v>24</v>
      </c>
      <c r="S46" s="6"/>
      <c r="T46" s="6"/>
      <c r="U46" s="6"/>
      <c r="V46" s="3">
        <v>46006.99234445602</v>
      </c>
      <c r="W46" s="3">
        <v>46006.5799578588</v>
      </c>
      <c r="X46" s="6"/>
    </row>
    <row r="47">
      <c r="A47" s="1" t="str">
        <f>IFERROR(__xludf.DUMMYFUNCTION("""COMPUTED_VALUE"""),"2509-514")</f>
        <v>2509-514</v>
      </c>
      <c r="B47" s="1" t="str">
        <f>IFERROR(__xludf.DUMMYFUNCTION("""COMPUTED_VALUE"""),"Anderson-Idylwild-Deck-Site-Plan")</f>
        <v>Anderson-Idylwild-Deck-Site-Plan</v>
      </c>
      <c r="C47" s="1" t="str">
        <f>IFERROR(__xludf.DUMMYFUNCTION("""COMPUTED_VALUE"""),"A008.8 Pending Resubmittal")</f>
        <v>A008.8 Pending Resubmittal</v>
      </c>
      <c r="D47" s="4">
        <f>IFERROR(__xludf.DUMMYFUNCTION("""COMPUTED_VALUE"""),1227982.0)</f>
        <v>1227982</v>
      </c>
      <c r="E47" s="5" t="s">
        <v>20</v>
      </c>
      <c r="J47" s="2" t="s">
        <v>50</v>
      </c>
      <c r="K47" s="2" t="s">
        <v>33</v>
      </c>
      <c r="L47" s="2" t="s">
        <v>40</v>
      </c>
      <c r="M47" s="5" t="s">
        <v>48</v>
      </c>
      <c r="N47" s="5" t="s">
        <v>24</v>
      </c>
      <c r="O47" s="5" t="s">
        <v>48</v>
      </c>
      <c r="S47" s="6"/>
      <c r="T47" s="6"/>
      <c r="U47" s="6"/>
      <c r="V47" s="6"/>
      <c r="W47" s="6"/>
      <c r="X47" s="6"/>
    </row>
    <row r="48">
      <c r="A48" s="1" t="str">
        <f>IFERROR(__xludf.DUMMYFUNCTION("""COMPUTED_VALUE"""),"2509-513")</f>
        <v>2509-513</v>
      </c>
      <c r="B48" s="1" t="str">
        <f>IFERROR(__xludf.DUMMYFUNCTION("""COMPUTED_VALUE"""),"Romkee-Lompoc-Remodel-and-Garage")</f>
        <v>Romkee-Lompoc-Remodel-and-Garage</v>
      </c>
      <c r="C48" s="1" t="str">
        <f>IFERROR(__xludf.DUMMYFUNCTION("""COMPUTED_VALUE"""),"A007.8 Pending Submittal")</f>
        <v>A007.8 Pending Submittal</v>
      </c>
      <c r="D48" s="4">
        <f>IFERROR(__xludf.DUMMYFUNCTION("""COMPUTED_VALUE"""),1227940.0)</f>
        <v>1227940</v>
      </c>
      <c r="E48" s="5" t="s">
        <v>34</v>
      </c>
      <c r="J48" s="2" t="s">
        <v>36</v>
      </c>
      <c r="K48" s="2" t="s">
        <v>26</v>
      </c>
      <c r="L48" s="2" t="s">
        <v>47</v>
      </c>
      <c r="M48" s="5" t="s">
        <v>37</v>
      </c>
      <c r="N48" s="5" t="s">
        <v>24</v>
      </c>
      <c r="O48" s="5" t="s">
        <v>44</v>
      </c>
      <c r="S48" s="6"/>
      <c r="T48" s="6"/>
      <c r="U48" s="6"/>
      <c r="V48" s="6"/>
      <c r="W48" s="3">
        <v>46005.50726849537</v>
      </c>
      <c r="X48" s="6"/>
    </row>
    <row r="49">
      <c r="A49" s="1" t="str">
        <f>IFERROR(__xludf.DUMMYFUNCTION("""COMPUTED_VALUE"""),"2509-512")</f>
        <v>2509-512</v>
      </c>
      <c r="B49" s="1" t="str">
        <f>IFERROR(__xludf.DUMMYFUNCTION("""COMPUTED_VALUE"""),"Henderson-Altadena-Fire-Rebuild")</f>
        <v>Henderson-Altadena-Fire-Rebuild</v>
      </c>
      <c r="C49" s="1" t="str">
        <f>IFERROR(__xludf.DUMMYFUNCTION("""COMPUTED_VALUE"""),"A005.9 - Submitted to Planning")</f>
        <v>A005.9 - Submitted to Planning</v>
      </c>
      <c r="D49" s="4">
        <f>IFERROR(__xludf.DUMMYFUNCTION("""COMPUTED_VALUE"""),1225660.0)</f>
        <v>1225660</v>
      </c>
      <c r="E49" s="5" t="s">
        <v>34</v>
      </c>
      <c r="J49" s="2" t="s">
        <v>33</v>
      </c>
      <c r="K49" s="2" t="s">
        <v>43</v>
      </c>
      <c r="L49" s="2" t="s">
        <v>43</v>
      </c>
      <c r="M49" s="5" t="s">
        <v>37</v>
      </c>
      <c r="N49" s="5" t="s">
        <v>44</v>
      </c>
      <c r="O49" s="5" t="s">
        <v>27</v>
      </c>
      <c r="S49" s="6"/>
      <c r="T49" s="6"/>
      <c r="U49" s="6"/>
      <c r="V49" s="6"/>
      <c r="W49" s="6"/>
      <c r="X49" s="6"/>
    </row>
    <row r="50">
      <c r="A50" s="1" t="str">
        <f>IFERROR(__xludf.DUMMYFUNCTION("""COMPUTED_VALUE"""),"2509-511")</f>
        <v>2509-511</v>
      </c>
      <c r="B50" s="1" t="str">
        <f>IFERROR(__xludf.DUMMYFUNCTION("""COMPUTED_VALUE"""),"Visweswaran-Tustin-2nd-Floor-Addition")</f>
        <v>Visweswaran-Tustin-2nd-Floor-Addition</v>
      </c>
      <c r="C50" s="1" t="str">
        <f>IFERROR(__xludf.DUMMYFUNCTION("""COMPUTED_VALUE"""),"A008 Submitted - Waiting on Others")</f>
        <v>A008 Submitted - Waiting on Others</v>
      </c>
      <c r="D50" s="4">
        <f>IFERROR(__xludf.DUMMYFUNCTION("""COMPUTED_VALUE"""),1225573.0)</f>
        <v>1225573</v>
      </c>
      <c r="E50" s="2" t="s">
        <v>21</v>
      </c>
      <c r="G50" s="2" t="s">
        <v>24</v>
      </c>
      <c r="J50" s="2" t="s">
        <v>39</v>
      </c>
      <c r="K50" s="2" t="s">
        <v>25</v>
      </c>
      <c r="L50" s="2" t="s">
        <v>33</v>
      </c>
      <c r="M50" s="5" t="s">
        <v>24</v>
      </c>
      <c r="N50" s="5" t="s">
        <v>37</v>
      </c>
      <c r="O50" s="5" t="s">
        <v>24</v>
      </c>
      <c r="S50" s="6"/>
      <c r="T50" s="6"/>
      <c r="U50" s="6"/>
      <c r="V50" s="3">
        <v>46006.9923829051</v>
      </c>
      <c r="W50" s="6"/>
      <c r="X50" s="6"/>
    </row>
    <row r="51">
      <c r="A51" s="1" t="str">
        <f>IFERROR(__xludf.DUMMYFUNCTION("""COMPUTED_VALUE"""),"2509-510")</f>
        <v>2509-510</v>
      </c>
      <c r="B51" s="1" t="str">
        <f>IFERROR(__xludf.DUMMYFUNCTION("""COMPUTED_VALUE"""),"Trahan-Santa-Barbara-Porch-and-Sunroom")</f>
        <v>Trahan-Santa-Barbara-Porch-and-Sunroom</v>
      </c>
      <c r="C51" s="1" t="str">
        <f>IFERROR(__xludf.DUMMYFUNCTION("""COMPUTED_VALUE"""),"A008.2 Architectural Comment Responses")</f>
        <v>A008.2 Architectural Comment Responses</v>
      </c>
      <c r="D51" s="4">
        <f>IFERROR(__xludf.DUMMYFUNCTION("""COMPUTED_VALUE"""),1225472.0)</f>
        <v>1225472</v>
      </c>
      <c r="E51" s="5" t="s">
        <v>34</v>
      </c>
      <c r="J51" s="2" t="s">
        <v>23</v>
      </c>
      <c r="K51" s="2" t="s">
        <v>49</v>
      </c>
      <c r="L51" s="2" t="s">
        <v>26</v>
      </c>
      <c r="M51" s="5" t="s">
        <v>24</v>
      </c>
      <c r="N51" s="5" t="s">
        <v>48</v>
      </c>
      <c r="O51" s="5" t="s">
        <v>27</v>
      </c>
      <c r="S51" s="6"/>
      <c r="T51" s="6"/>
      <c r="U51" s="6"/>
      <c r="V51" s="6"/>
      <c r="W51" s="6"/>
      <c r="X51" s="6"/>
    </row>
    <row r="52">
      <c r="A52" s="1" t="str">
        <f>IFERROR(__xludf.DUMMYFUNCTION("""COMPUTED_VALUE"""),"2509-509")</f>
        <v>2509-509</v>
      </c>
      <c r="B52" s="1" t="str">
        <f>IFERROR(__xludf.DUMMYFUNCTION("""COMPUTED_VALUE"""),"Barnard-Orange-Timber-Patio")</f>
        <v>Barnard-Orange-Timber-Patio</v>
      </c>
      <c r="C52" s="1" t="str">
        <f>IFERROR(__xludf.DUMMYFUNCTION("""COMPUTED_VALUE"""),"A008.8 Pending Resubmittal")</f>
        <v>A008.8 Pending Resubmittal</v>
      </c>
      <c r="D52" s="4">
        <f>IFERROR(__xludf.DUMMYFUNCTION("""COMPUTED_VALUE"""),1225381.0)</f>
        <v>1225381</v>
      </c>
      <c r="E52" s="5" t="s">
        <v>20</v>
      </c>
      <c r="J52" s="2" t="s">
        <v>26</v>
      </c>
      <c r="K52" s="2" t="s">
        <v>33</v>
      </c>
      <c r="L52" s="2" t="s">
        <v>43</v>
      </c>
      <c r="M52" s="5" t="s">
        <v>24</v>
      </c>
      <c r="N52" s="5" t="s">
        <v>48</v>
      </c>
      <c r="O52" s="5" t="s">
        <v>24</v>
      </c>
      <c r="S52" s="6"/>
      <c r="T52" s="6"/>
      <c r="U52" s="6"/>
      <c r="V52" s="6"/>
      <c r="W52" s="6"/>
      <c r="X52" s="6"/>
    </row>
    <row r="53">
      <c r="A53" s="1" t="str">
        <f>IFERROR(__xludf.DUMMYFUNCTION("""COMPUTED_VALUE"""),"2509-508")</f>
        <v>2509-508</v>
      </c>
      <c r="B53" s="1" t="str">
        <f>IFERROR(__xludf.DUMMYFUNCTION("""COMPUTED_VALUE"""),"Guest-Riverside-Kitchen-Remodel")</f>
        <v>Guest-Riverside-Kitchen-Remodel</v>
      </c>
      <c r="C53" s="1" t="str">
        <f>IFERROR(__xludf.DUMMYFUNCTION("""COMPUTED_VALUE"""),"Completed - Sent to Client")</f>
        <v>Completed - Sent to Client</v>
      </c>
      <c r="D53" s="4">
        <f>IFERROR(__xludf.DUMMYFUNCTION("""COMPUTED_VALUE"""),1225312.0)</f>
        <v>1225312</v>
      </c>
      <c r="E53" s="5" t="s">
        <v>20</v>
      </c>
      <c r="J53" s="2" t="s">
        <v>43</v>
      </c>
      <c r="K53" s="2" t="s">
        <v>51</v>
      </c>
      <c r="L53" s="2" t="s">
        <v>21</v>
      </c>
      <c r="M53" s="5" t="s">
        <v>24</v>
      </c>
      <c r="N53" s="5" t="s">
        <v>37</v>
      </c>
      <c r="O53" s="5" t="s">
        <v>37</v>
      </c>
      <c r="S53" s="6"/>
      <c r="T53" s="6"/>
      <c r="U53" s="6"/>
      <c r="V53" s="6"/>
      <c r="W53" s="6"/>
      <c r="X53" s="6"/>
    </row>
    <row r="54">
      <c r="A54" s="1" t="str">
        <f>IFERROR(__xludf.DUMMYFUNCTION("""COMPUTED_VALUE"""),"2509-507")</f>
        <v>2509-507</v>
      </c>
      <c r="B54" s="1" t="str">
        <f>IFERROR(__xludf.DUMMYFUNCTION("""COMPUTED_VALUE"""),"Woodward-Oceanside-Church-Occupancy")</f>
        <v>Woodward-Oceanside-Church-Occupancy</v>
      </c>
      <c r="C54" s="1" t="str">
        <f>IFERROR(__xludf.DUMMYFUNCTION("""COMPUTED_VALUE"""),"A008 Submitted - Waiting on Others")</f>
        <v>A008 Submitted - Waiting on Others</v>
      </c>
      <c r="D54" s="4">
        <f>IFERROR(__xludf.DUMMYFUNCTION("""COMPUTED_VALUE"""),1225171.0)</f>
        <v>1225171</v>
      </c>
      <c r="E54" s="2" t="s">
        <v>21</v>
      </c>
      <c r="G54" s="2"/>
      <c r="J54" s="2" t="s">
        <v>52</v>
      </c>
      <c r="K54" s="2" t="s">
        <v>25</v>
      </c>
      <c r="L54" s="2" t="s">
        <v>33</v>
      </c>
      <c r="N54" s="5" t="s">
        <v>44</v>
      </c>
      <c r="O54" s="5" t="s">
        <v>44</v>
      </c>
      <c r="S54" s="6"/>
      <c r="T54" s="6"/>
      <c r="U54" s="6"/>
      <c r="V54" s="3">
        <v>46007.01820755787</v>
      </c>
      <c r="W54" s="3">
        <v>46006.99985246528</v>
      </c>
      <c r="X54" s="6"/>
    </row>
    <row r="55">
      <c r="A55" s="1" t="str">
        <f>IFERROR(__xludf.DUMMYFUNCTION("""COMPUTED_VALUE"""),"2509-506")</f>
        <v>2509-506</v>
      </c>
      <c r="B55" s="1" t="str">
        <f>IFERROR(__xludf.DUMMYFUNCTION("""COMPUTED_VALUE"""),"Levin-Woodland-Addition-and-GADU")</f>
        <v>Levin-Woodland-Addition-and-GADU</v>
      </c>
      <c r="C55" s="1" t="str">
        <f>IFERROR(__xludf.DUMMYFUNCTION("""COMPUTED_VALUE"""),"A008.2 Architectural Comment Responses")</f>
        <v>A008.2 Architectural Comment Responses</v>
      </c>
      <c r="D55" s="4">
        <f>IFERROR(__xludf.DUMMYFUNCTION("""COMPUTED_VALUE"""),1213841.0)</f>
        <v>1213841</v>
      </c>
      <c r="E55" s="5" t="s">
        <v>34</v>
      </c>
      <c r="J55" s="2" t="s">
        <v>39</v>
      </c>
      <c r="K55" s="2" t="s">
        <v>43</v>
      </c>
      <c r="L55" s="2" t="s">
        <v>49</v>
      </c>
      <c r="M55" s="5" t="s">
        <v>24</v>
      </c>
      <c r="N55" s="5" t="s">
        <v>27</v>
      </c>
      <c r="O55" s="5" t="s">
        <v>48</v>
      </c>
      <c r="S55" s="6"/>
      <c r="T55" s="6"/>
      <c r="U55" s="6"/>
      <c r="V55" s="6"/>
      <c r="W55" s="6"/>
      <c r="X55" s="6"/>
    </row>
    <row r="56">
      <c r="A56" s="1" t="str">
        <f>IFERROR(__xludf.DUMMYFUNCTION("""COMPUTED_VALUE"""),"2509-043")</f>
        <v>2509-043</v>
      </c>
      <c r="B56" s="1" t="str">
        <f>IFERROR(__xludf.DUMMYFUNCTION("""COMPUTED_VALUE"""),"Verde-Chula Vista-Structural-New SFR")</f>
        <v>Verde-Chula Vista-Structural-New SFR</v>
      </c>
      <c r="C56" s="1" t="str">
        <f>IFERROR(__xludf.DUMMYFUNCTION("""COMPUTED_VALUE"""),"A006.5 - Structural Engineering")</f>
        <v>A006.5 - Structural Engineering</v>
      </c>
      <c r="D56" s="4">
        <f>IFERROR(__xludf.DUMMYFUNCTION("""COMPUTED_VALUE"""),1225409.0)</f>
        <v>1225409</v>
      </c>
      <c r="E56" s="5" t="s">
        <v>34</v>
      </c>
      <c r="J56" s="2" t="s">
        <v>36</v>
      </c>
      <c r="K56" s="2" t="s">
        <v>25</v>
      </c>
      <c r="L56" s="2" t="s">
        <v>25</v>
      </c>
      <c r="M56" s="5" t="s">
        <v>48</v>
      </c>
      <c r="N56" s="5" t="s">
        <v>48</v>
      </c>
      <c r="O56" s="5" t="s">
        <v>48</v>
      </c>
      <c r="S56" s="3">
        <v>46005.101590694445</v>
      </c>
      <c r="T56" s="6"/>
      <c r="U56" s="6"/>
      <c r="V56" s="6"/>
      <c r="W56" s="6"/>
      <c r="X56" s="6"/>
    </row>
    <row r="57">
      <c r="A57" s="1" t="str">
        <f>IFERROR(__xludf.DUMMYFUNCTION("""COMPUTED_VALUE"""),"2508-505")</f>
        <v>2508-505</v>
      </c>
      <c r="B57" s="1" t="str">
        <f>IFERROR(__xludf.DUMMYFUNCTION("""COMPUTED_VALUE"""),"Bretches-Corona-Gabled-Pavillion")</f>
        <v>Bretches-Corona-Gabled-Pavillion</v>
      </c>
      <c r="C57" s="1" t="str">
        <f>IFERROR(__xludf.DUMMYFUNCTION("""COMPUTED_VALUE"""),"Abandoned,Expired")</f>
        <v>Abandoned,Expired</v>
      </c>
      <c r="D57" s="4">
        <f>IFERROR(__xludf.DUMMYFUNCTION("""COMPUTED_VALUE"""),1208998.0)</f>
        <v>1208998</v>
      </c>
      <c r="E57" s="5" t="s">
        <v>34</v>
      </c>
      <c r="J57" s="2" t="s">
        <v>49</v>
      </c>
      <c r="K57" s="2" t="s">
        <v>43</v>
      </c>
      <c r="L57" s="2" t="s">
        <v>51</v>
      </c>
      <c r="M57" s="5" t="s">
        <v>24</v>
      </c>
      <c r="N57" s="5" t="s">
        <v>44</v>
      </c>
      <c r="O57" s="5" t="s">
        <v>27</v>
      </c>
      <c r="S57" s="6"/>
      <c r="T57" s="6"/>
      <c r="U57" s="6"/>
      <c r="V57" s="6"/>
      <c r="W57" s="6"/>
      <c r="X57" s="6"/>
    </row>
    <row r="58">
      <c r="A58" s="1" t="str">
        <f>IFERROR(__xludf.DUMMYFUNCTION("""COMPUTED_VALUE"""),"2508-504")</f>
        <v>2508-504</v>
      </c>
      <c r="B58" s="1" t="str">
        <f>IFERROR(__xludf.DUMMYFUNCTION("""COMPUTED_VALUE"""),"He-Carlsbad-TI-Design-Only")</f>
        <v>He-Carlsbad-TI-Design-Only</v>
      </c>
      <c r="C58" s="1" t="str">
        <f>IFERROR(__xludf.DUMMYFUNCTION("""COMPUTED_VALUE"""),"Completed - Sent to Client")</f>
        <v>Completed - Sent to Client</v>
      </c>
      <c r="D58" s="4">
        <f>IFERROR(__xludf.DUMMYFUNCTION("""COMPUTED_VALUE"""),1208535.0)</f>
        <v>1208535</v>
      </c>
      <c r="E58" s="5" t="s">
        <v>34</v>
      </c>
      <c r="J58" s="2" t="s">
        <v>26</v>
      </c>
      <c r="K58" s="2" t="s">
        <v>43</v>
      </c>
      <c r="L58" s="2" t="s">
        <v>43</v>
      </c>
      <c r="M58" s="5" t="s">
        <v>48</v>
      </c>
      <c r="N58" s="5" t="s">
        <v>37</v>
      </c>
      <c r="O58" s="5" t="s">
        <v>48</v>
      </c>
      <c r="S58" s="6"/>
      <c r="T58" s="6"/>
      <c r="U58" s="6"/>
      <c r="V58" s="6"/>
      <c r="W58" s="6"/>
      <c r="X58" s="6"/>
    </row>
    <row r="59">
      <c r="A59" s="1" t="str">
        <f>IFERROR(__xludf.DUMMYFUNCTION("""COMPUTED_VALUE"""),"2508-503")</f>
        <v>2508-503</v>
      </c>
      <c r="B59" s="1" t="str">
        <f>IFERROR(__xludf.DUMMYFUNCTION("""COMPUTED_VALUE"""),"Uhl-Ventura-Retaining-Wall-Plans-Takeover")</f>
        <v>Uhl-Ventura-Retaining-Wall-Plans-Takeover</v>
      </c>
      <c r="C59" s="1" t="str">
        <f>IFERROR(__xludf.DUMMYFUNCTION("""COMPUTED_VALUE"""),"A008 Submitted - Waiting on Others")</f>
        <v>A008 Submitted - Waiting on Others</v>
      </c>
      <c r="D59" s="4">
        <f>IFERROR(__xludf.DUMMYFUNCTION("""COMPUTED_VALUE"""),1206069.0)</f>
        <v>1206069</v>
      </c>
      <c r="E59" s="5" t="s">
        <v>34</v>
      </c>
      <c r="J59" s="2" t="s">
        <v>21</v>
      </c>
      <c r="K59" s="2" t="s">
        <v>22</v>
      </c>
      <c r="L59" s="2" t="s">
        <v>47</v>
      </c>
      <c r="M59" s="2" t="s">
        <v>24</v>
      </c>
      <c r="N59" s="5" t="s">
        <v>37</v>
      </c>
      <c r="O59" s="5" t="s">
        <v>37</v>
      </c>
      <c r="S59" s="3">
        <v>46007.00200409722</v>
      </c>
      <c r="T59" s="3">
        <v>46005.131872893515</v>
      </c>
      <c r="U59" s="6"/>
      <c r="V59" s="6"/>
      <c r="W59" s="6"/>
      <c r="X59" s="6"/>
    </row>
    <row r="60">
      <c r="A60" s="1" t="str">
        <f>IFERROR(__xludf.DUMMYFUNCTION("""COMPUTED_VALUE"""),"2508-502")</f>
        <v>2508-502</v>
      </c>
      <c r="B60" s="1" t="str">
        <f>IFERROR(__xludf.DUMMYFUNCTION("""COMPUTED_VALUE"""),"Anderson-Oxnard-Beam-Install")</f>
        <v>Anderson-Oxnard-Beam-Install</v>
      </c>
      <c r="C60" s="1" t="str">
        <f>IFERROR(__xludf.DUMMYFUNCTION("""COMPUTED_VALUE"""),"A008.6 Arch Packaging Re-Submittal")</f>
        <v>A008.6 Arch Packaging Re-Submittal</v>
      </c>
      <c r="D60" s="4">
        <f>IFERROR(__xludf.DUMMYFUNCTION("""COMPUTED_VALUE"""),1197991.0)</f>
        <v>1197991</v>
      </c>
      <c r="E60" s="5" t="s">
        <v>34</v>
      </c>
      <c r="J60" s="2" t="s">
        <v>50</v>
      </c>
      <c r="K60" s="2" t="s">
        <v>35</v>
      </c>
      <c r="L60" s="2" t="s">
        <v>23</v>
      </c>
      <c r="M60" s="5" t="s">
        <v>48</v>
      </c>
      <c r="N60" s="5" t="s">
        <v>44</v>
      </c>
      <c r="O60" s="5" t="s">
        <v>24</v>
      </c>
      <c r="S60" s="6"/>
      <c r="T60" s="6"/>
      <c r="U60" s="6"/>
      <c r="V60" s="6"/>
      <c r="W60" s="6"/>
      <c r="X60" s="6"/>
    </row>
    <row r="61">
      <c r="A61" s="1" t="str">
        <f>IFERROR(__xludf.DUMMYFUNCTION("""COMPUTED_VALUE"""),"2508-501")</f>
        <v>2508-501</v>
      </c>
      <c r="B61" s="1" t="str">
        <f>IFERROR(__xludf.DUMMYFUNCTION("""COMPUTED_VALUE"""),"Leming-Pasadena-Fire-Rebuild")</f>
        <v>Leming-Pasadena-Fire-Rebuild</v>
      </c>
      <c r="C61" s="1" t="str">
        <f>IFERROR(__xludf.DUMMYFUNCTION("""COMPUTED_VALUE"""),"A007 Plan Detailing for Submittal")</f>
        <v>A007 Plan Detailing for Submittal</v>
      </c>
      <c r="D61" s="4">
        <f>IFERROR(__xludf.DUMMYFUNCTION("""COMPUTED_VALUE"""),1197873.0)</f>
        <v>1197873</v>
      </c>
      <c r="E61" s="5" t="s">
        <v>34</v>
      </c>
      <c r="J61" s="2" t="s">
        <v>51</v>
      </c>
      <c r="K61" s="2" t="s">
        <v>26</v>
      </c>
      <c r="L61" s="2" t="s">
        <v>51</v>
      </c>
      <c r="M61" s="5" t="s">
        <v>44</v>
      </c>
      <c r="N61" s="5" t="s">
        <v>44</v>
      </c>
      <c r="O61" s="5" t="s">
        <v>44</v>
      </c>
      <c r="S61" s="6"/>
      <c r="T61" s="3">
        <v>46005.42472619213</v>
      </c>
      <c r="U61" s="6"/>
      <c r="V61" s="6"/>
      <c r="W61" s="6"/>
      <c r="X61" s="6"/>
    </row>
    <row r="62">
      <c r="A62" s="1" t="str">
        <f>IFERROR(__xludf.DUMMYFUNCTION("""COMPUTED_VALUE"""),"2508-500")</f>
        <v>2508-500</v>
      </c>
      <c r="B62" s="1" t="str">
        <f>IFERROR(__xludf.DUMMYFUNCTION("""COMPUTED_VALUE"""),"Jaima-Yucaipa-New-SFH")</f>
        <v>Jaima-Yucaipa-New-SFH</v>
      </c>
      <c r="C62" s="1" t="str">
        <f>IFERROR(__xludf.DUMMYFUNCTION("""COMPUTED_VALUE"""),"A008 Submitted - Waiting on Others")</f>
        <v>A008 Submitted - Waiting on Others</v>
      </c>
      <c r="D62" s="4">
        <f>IFERROR(__xludf.DUMMYFUNCTION("""COMPUTED_VALUE"""),1193847.0)</f>
        <v>1193847</v>
      </c>
      <c r="E62" s="5" t="s">
        <v>20</v>
      </c>
      <c r="J62" s="2" t="s">
        <v>22</v>
      </c>
      <c r="K62" s="2" t="s">
        <v>23</v>
      </c>
      <c r="L62" s="2" t="s">
        <v>42</v>
      </c>
      <c r="M62" s="2" t="s">
        <v>24</v>
      </c>
      <c r="N62" s="5" t="s">
        <v>24</v>
      </c>
      <c r="O62" s="5" t="s">
        <v>44</v>
      </c>
      <c r="S62" s="3">
        <v>46007.01236674769</v>
      </c>
      <c r="T62" s="6"/>
      <c r="U62" s="6"/>
      <c r="V62" s="6"/>
      <c r="W62" s="6"/>
      <c r="X62" s="6"/>
    </row>
    <row r="63">
      <c r="A63" s="1" t="str">
        <f>IFERROR(__xludf.DUMMYFUNCTION("""COMPUTED_VALUE"""),"2508-499")</f>
        <v>2508-499</v>
      </c>
      <c r="B63" s="1" t="str">
        <f>IFERROR(__xludf.DUMMYFUNCTION("""COMPUTED_VALUE"""),"Pina-Norwalk-Patio-Enclosure")</f>
        <v>Pina-Norwalk-Patio-Enclosure</v>
      </c>
      <c r="C63" s="1" t="str">
        <f>IFERROR(__xludf.DUMMYFUNCTION("""COMPUTED_VALUE"""),"A008.8 Pending Resubmittal")</f>
        <v>A008.8 Pending Resubmittal</v>
      </c>
      <c r="D63" s="4">
        <f>IFERROR(__xludf.DUMMYFUNCTION("""COMPUTED_VALUE"""),1193797.0)</f>
        <v>1193797</v>
      </c>
      <c r="E63" s="5" t="s">
        <v>34</v>
      </c>
      <c r="J63" s="2" t="s">
        <v>49</v>
      </c>
      <c r="K63" s="2" t="s">
        <v>49</v>
      </c>
      <c r="L63" s="2" t="s">
        <v>22</v>
      </c>
      <c r="M63" s="5" t="s">
        <v>27</v>
      </c>
      <c r="N63" s="5" t="s">
        <v>27</v>
      </c>
      <c r="O63" s="5" t="s">
        <v>37</v>
      </c>
      <c r="S63" s="6"/>
      <c r="T63" s="6"/>
      <c r="U63" s="6"/>
      <c r="V63" s="6"/>
      <c r="W63" s="6"/>
      <c r="X63" s="6"/>
    </row>
    <row r="64">
      <c r="A64" s="1" t="str">
        <f>IFERROR(__xludf.DUMMYFUNCTION("""COMPUTED_VALUE"""),"2508-498")</f>
        <v>2508-498</v>
      </c>
      <c r="B64" s="1" t="str">
        <f>IFERROR(__xludf.DUMMYFUNCTION("""COMPUTED_VALUE"""),"Satran-LA-ADU-Conversion")</f>
        <v>Satran-LA-ADU-Conversion</v>
      </c>
      <c r="C64" s="1" t="str">
        <f>IFERROR(__xludf.DUMMYFUNCTION("""COMPUTED_VALUE"""),"A008.2 Architectural Comment Responses")</f>
        <v>A008.2 Architectural Comment Responses</v>
      </c>
      <c r="D64" s="4">
        <f>IFERROR(__xludf.DUMMYFUNCTION("""COMPUTED_VALUE"""),1192253.0)</f>
        <v>1192253</v>
      </c>
      <c r="E64" s="5" t="s">
        <v>34</v>
      </c>
      <c r="J64" s="2" t="s">
        <v>21</v>
      </c>
      <c r="K64" s="2" t="s">
        <v>43</v>
      </c>
      <c r="L64" s="2" t="s">
        <v>26</v>
      </c>
      <c r="M64" s="2" t="s">
        <v>37</v>
      </c>
      <c r="N64" s="5" t="s">
        <v>37</v>
      </c>
      <c r="O64" s="5" t="s">
        <v>27</v>
      </c>
      <c r="S64" s="3">
        <v>46006.99878620371</v>
      </c>
      <c r="T64" s="6"/>
      <c r="U64" s="6"/>
      <c r="V64" s="6"/>
      <c r="W64" s="6"/>
      <c r="X64" s="6"/>
    </row>
    <row r="65">
      <c r="A65" s="1" t="str">
        <f>IFERROR(__xludf.DUMMYFUNCTION("""COMPUTED_VALUE"""),"2508-497")</f>
        <v>2508-497</v>
      </c>
      <c r="B65" s="1" t="str">
        <f>IFERROR(__xludf.DUMMYFUNCTION("""COMPUTED_VALUE"""),"Griffin-Kurtz-Encinitas-ADU-Permitting")</f>
        <v>Griffin-Kurtz-Encinitas-ADU-Permitting</v>
      </c>
      <c r="C65" s="1" t="str">
        <f>IFERROR(__xludf.DUMMYFUNCTION("""COMPUTED_VALUE"""),"A009 Resubmitted")</f>
        <v>A009 Resubmitted</v>
      </c>
      <c r="D65" s="4">
        <f>IFERROR(__xludf.DUMMYFUNCTION("""COMPUTED_VALUE"""),1192115.0)</f>
        <v>1192115</v>
      </c>
      <c r="E65" s="5" t="s">
        <v>34</v>
      </c>
      <c r="J65" s="2" t="s">
        <v>51</v>
      </c>
      <c r="K65" s="2" t="s">
        <v>36</v>
      </c>
      <c r="L65" s="2" t="s">
        <v>47</v>
      </c>
      <c r="M65" s="5" t="s">
        <v>24</v>
      </c>
      <c r="N65" s="5" t="s">
        <v>37</v>
      </c>
      <c r="O65" s="5" t="s">
        <v>27</v>
      </c>
      <c r="S65" s="6"/>
      <c r="T65" s="6"/>
      <c r="U65" s="6"/>
      <c r="V65" s="6"/>
      <c r="W65" s="6"/>
      <c r="X65" s="6"/>
    </row>
    <row r="66">
      <c r="A66" s="1" t="str">
        <f>IFERROR(__xludf.DUMMYFUNCTION("""COMPUTED_VALUE"""),"2508-496")</f>
        <v>2508-496</v>
      </c>
      <c r="B66" s="1" t="str">
        <f>IFERROR(__xludf.DUMMYFUNCTION("""COMPUTED_VALUE"""),"Janes-Canyon-County-Garage-Room-Conversion")</f>
        <v>Janes-Canyon-County-Garage-Room-Conversion</v>
      </c>
      <c r="C66" s="1" t="str">
        <f>IFERROR(__xludf.DUMMYFUNCTION("""COMPUTED_VALUE"""),"A008.8 Pending Resubmittal")</f>
        <v>A008.8 Pending Resubmittal</v>
      </c>
      <c r="D66" s="4">
        <f>IFERROR(__xludf.DUMMYFUNCTION("""COMPUTED_VALUE"""),1193334.0)</f>
        <v>1193334</v>
      </c>
      <c r="E66" s="5" t="s">
        <v>34</v>
      </c>
      <c r="J66" s="2" t="s">
        <v>40</v>
      </c>
      <c r="K66" s="2" t="s">
        <v>32</v>
      </c>
      <c r="L66" s="2" t="s">
        <v>42</v>
      </c>
      <c r="M66" s="5" t="s">
        <v>37</v>
      </c>
      <c r="N66" s="5" t="s">
        <v>44</v>
      </c>
      <c r="O66" s="5" t="s">
        <v>24</v>
      </c>
      <c r="S66" s="6"/>
      <c r="T66" s="6"/>
      <c r="U66" s="6"/>
      <c r="V66" s="6"/>
      <c r="W66" s="6"/>
      <c r="X66" s="6"/>
    </row>
    <row r="67">
      <c r="A67" s="1" t="str">
        <f>IFERROR(__xludf.DUMMYFUNCTION("""COMPUTED_VALUE"""),"2508-495")</f>
        <v>2508-495</v>
      </c>
      <c r="B67" s="1" t="str">
        <f>IFERROR(__xludf.DUMMYFUNCTION("""COMPUTED_VALUE"""),"Parks-Anaheim-Room-Addition")</f>
        <v>Parks-Anaheim-Room-Addition</v>
      </c>
      <c r="C67" s="1" t="str">
        <f>IFERROR(__xludf.DUMMYFUNCTION("""COMPUTED_VALUE"""),"A009 Resubmitted")</f>
        <v>A009 Resubmitted</v>
      </c>
      <c r="D67" s="4">
        <f>IFERROR(__xludf.DUMMYFUNCTION("""COMPUTED_VALUE"""),1184945.0)</f>
        <v>1184945</v>
      </c>
      <c r="E67" s="5" t="s">
        <v>34</v>
      </c>
      <c r="J67" s="2" t="s">
        <v>25</v>
      </c>
      <c r="K67" s="2" t="s">
        <v>26</v>
      </c>
      <c r="L67" s="2" t="s">
        <v>23</v>
      </c>
      <c r="M67" s="5" t="s">
        <v>48</v>
      </c>
      <c r="N67" s="5" t="s">
        <v>44</v>
      </c>
      <c r="O67" s="5" t="s">
        <v>48</v>
      </c>
      <c r="S67" s="6"/>
      <c r="T67" s="6"/>
      <c r="U67" s="6"/>
      <c r="V67" s="6"/>
      <c r="W67" s="6"/>
      <c r="X67" s="6"/>
    </row>
    <row r="68">
      <c r="A68" s="1" t="str">
        <f>IFERROR(__xludf.DUMMYFUNCTION("""COMPUTED_VALUE"""),"2508-494")</f>
        <v>2508-494</v>
      </c>
      <c r="B68" s="1" t="str">
        <f>IFERROR(__xludf.DUMMYFUNCTION("""COMPUTED_VALUE"""),"Leveque-PMC-New-Attached-Garage-and-FROG")</f>
        <v>Leveque-PMC-New-Attached-Garage-and-FROG</v>
      </c>
      <c r="C68" s="1" t="str">
        <f>IFERROR(__xludf.DUMMYFUNCTION("""COMPUTED_VALUE"""),"A005 Architectural &amp; Structural (CD's)")</f>
        <v>A005 Architectural &amp; Structural (CD's)</v>
      </c>
      <c r="D68" s="4">
        <f>IFERROR(__xludf.DUMMYFUNCTION("""COMPUTED_VALUE"""),1184395.0)</f>
        <v>1184395</v>
      </c>
      <c r="E68" s="5" t="s">
        <v>34</v>
      </c>
      <c r="J68" s="2" t="s">
        <v>47</v>
      </c>
      <c r="K68" s="2" t="s">
        <v>36</v>
      </c>
      <c r="L68" s="2" t="s">
        <v>21</v>
      </c>
      <c r="M68" s="5" t="s">
        <v>37</v>
      </c>
      <c r="N68" s="5" t="s">
        <v>24</v>
      </c>
      <c r="O68" s="5" t="s">
        <v>27</v>
      </c>
      <c r="S68" s="6"/>
      <c r="T68" s="6"/>
      <c r="U68" s="6"/>
      <c r="V68" s="6"/>
      <c r="W68" s="6"/>
      <c r="X68" s="6"/>
    </row>
    <row r="69">
      <c r="A69" s="1" t="str">
        <f>IFERROR(__xludf.DUMMYFUNCTION("""COMPUTED_VALUE"""),"2508-493")</f>
        <v>2508-493</v>
      </c>
      <c r="B69" s="1" t="str">
        <f>IFERROR(__xludf.DUMMYFUNCTION("""COMPUTED_VALUE"""),"Russo-Morongo-Valley-Addition-Permitting")</f>
        <v>Russo-Morongo-Valley-Addition-Permitting</v>
      </c>
      <c r="C69" s="1" t="str">
        <f>IFERROR(__xludf.DUMMYFUNCTION("""COMPUTED_VALUE"""),"A009 Resubmitted")</f>
        <v>A009 Resubmitted</v>
      </c>
      <c r="D69" s="4">
        <f>IFERROR(__xludf.DUMMYFUNCTION("""COMPUTED_VALUE"""),1184390.0)</f>
        <v>1184390</v>
      </c>
      <c r="E69" s="5" t="s">
        <v>34</v>
      </c>
      <c r="J69" s="2" t="s">
        <v>42</v>
      </c>
      <c r="K69" s="2" t="s">
        <v>33</v>
      </c>
      <c r="L69" s="2" t="s">
        <v>47</v>
      </c>
      <c r="M69" s="5" t="s">
        <v>48</v>
      </c>
      <c r="N69" s="5" t="s">
        <v>48</v>
      </c>
      <c r="O69" s="5" t="s">
        <v>37</v>
      </c>
      <c r="S69" s="6"/>
      <c r="T69" s="6"/>
      <c r="U69" s="6"/>
      <c r="V69" s="6"/>
      <c r="W69" s="6"/>
      <c r="X69" s="6"/>
    </row>
    <row r="70">
      <c r="A70" s="1" t="str">
        <f>IFERROR(__xludf.DUMMYFUNCTION("""COMPUTED_VALUE"""),"2508-042")</f>
        <v>2508-042</v>
      </c>
      <c r="B70" s="1" t="str">
        <f>IFERROR(__xludf.DUMMYFUNCTION("""COMPUTED_VALUE"""),"Donax-San Diego-2 SFRs-Structural Only")</f>
        <v>Donax-San Diego-2 SFRs-Structural Only</v>
      </c>
      <c r="C70" s="1" t="str">
        <f>IFERROR(__xludf.DUMMYFUNCTION("""COMPUTED_VALUE"""),"A006.5 - Structural Engineering")</f>
        <v>A006.5 - Structural Engineering</v>
      </c>
      <c r="D70" s="4">
        <f>IFERROR(__xludf.DUMMYFUNCTION("""COMPUTED_VALUE"""),1218477.0)</f>
        <v>1218477</v>
      </c>
      <c r="E70" s="5" t="s">
        <v>20</v>
      </c>
      <c r="J70" s="2" t="s">
        <v>50</v>
      </c>
      <c r="K70" s="2" t="s">
        <v>22</v>
      </c>
      <c r="L70" s="2" t="s">
        <v>51</v>
      </c>
      <c r="M70" s="5" t="s">
        <v>37</v>
      </c>
      <c r="N70" s="5" t="s">
        <v>24</v>
      </c>
      <c r="O70" s="5" t="s">
        <v>37</v>
      </c>
      <c r="S70" s="3">
        <v>46005.13102850695</v>
      </c>
      <c r="T70" s="6"/>
      <c r="U70" s="6"/>
      <c r="V70" s="6"/>
      <c r="W70" s="6"/>
      <c r="X70" s="6"/>
    </row>
    <row r="71">
      <c r="A71" s="1" t="str">
        <f>IFERROR(__xludf.DUMMYFUNCTION("""COMPUTED_VALUE"""),"2508-041")</f>
        <v>2508-041</v>
      </c>
      <c r="B71" s="1" t="str">
        <f>IFERROR(__xludf.DUMMYFUNCTION("""COMPUTED_VALUE"""),"Estada Structural")</f>
        <v>Estada Structural</v>
      </c>
      <c r="C71" s="1" t="str">
        <f>IFERROR(__xludf.DUMMYFUNCTION("""COMPUTED_VALUE"""),"A008.5 Structural Engineering Corrections")</f>
        <v>A008.5 Structural Engineering Corrections</v>
      </c>
      <c r="D71" s="4">
        <f>IFERROR(__xludf.DUMMYFUNCTION("""COMPUTED_VALUE"""),1218413.0)</f>
        <v>1218413</v>
      </c>
      <c r="E71" s="5" t="s">
        <v>20</v>
      </c>
      <c r="J71" s="2" t="s">
        <v>25</v>
      </c>
      <c r="K71" s="2" t="s">
        <v>25</v>
      </c>
      <c r="L71" s="2" t="s">
        <v>40</v>
      </c>
      <c r="M71" s="5" t="s">
        <v>37</v>
      </c>
      <c r="N71" s="5" t="s">
        <v>37</v>
      </c>
      <c r="O71" s="5" t="s">
        <v>37</v>
      </c>
      <c r="S71" s="6"/>
      <c r="T71" s="6"/>
      <c r="U71" s="6"/>
      <c r="V71" s="6"/>
      <c r="W71" s="6"/>
      <c r="X71" s="6"/>
    </row>
    <row r="72">
      <c r="A72" s="1" t="str">
        <f>IFERROR(__xludf.DUMMYFUNCTION("""COMPUTED_VALUE"""),"2507-492")</f>
        <v>2507-492</v>
      </c>
      <c r="B72" s="1" t="str">
        <f>IFERROR(__xludf.DUMMYFUNCTION("""COMPUTED_VALUE"""),"Zenjay-Perris-Prefab-ADU's")</f>
        <v>Zenjay-Perris-Prefab-ADU's</v>
      </c>
      <c r="C72" s="1" t="str">
        <f>IFERROR(__xludf.DUMMYFUNCTION("""COMPUTED_VALUE"""),"Abandoned,Expired")</f>
        <v>Abandoned,Expired</v>
      </c>
      <c r="D72" s="4">
        <f>IFERROR(__xludf.DUMMYFUNCTION("""COMPUTED_VALUE"""),1181418.0)</f>
        <v>1181418</v>
      </c>
      <c r="E72" s="5" t="s">
        <v>34</v>
      </c>
      <c r="J72" s="2" t="s">
        <v>36</v>
      </c>
      <c r="K72" s="2" t="s">
        <v>39</v>
      </c>
      <c r="L72" s="2" t="s">
        <v>22</v>
      </c>
      <c r="M72" s="5" t="s">
        <v>27</v>
      </c>
      <c r="N72" s="5" t="s">
        <v>48</v>
      </c>
      <c r="O72" s="2" t="s">
        <v>37</v>
      </c>
      <c r="S72" s="6"/>
      <c r="T72" s="6"/>
      <c r="U72" s="3">
        <v>46006.39087096065</v>
      </c>
      <c r="V72" s="6"/>
      <c r="W72" s="6"/>
      <c r="X72" s="6"/>
    </row>
    <row r="73">
      <c r="A73" s="1" t="str">
        <f>IFERROR(__xludf.DUMMYFUNCTION("""COMPUTED_VALUE"""),"2507-491")</f>
        <v>2507-491</v>
      </c>
      <c r="B73" s="1" t="str">
        <f>IFERROR(__xludf.DUMMYFUNCTION("""COMPUTED_VALUE"""),"Gallagher-SB-Remodel-Addition")</f>
        <v>Gallagher-SB-Remodel-Addition</v>
      </c>
      <c r="C73" s="1" t="str">
        <f>IFERROR(__xludf.DUMMYFUNCTION("""COMPUTED_VALUE"""),"A008.2 Architectural Comment Responses")</f>
        <v>A008.2 Architectural Comment Responses</v>
      </c>
      <c r="D73" s="4">
        <f>IFERROR(__xludf.DUMMYFUNCTION("""COMPUTED_VALUE"""),1180119.0)</f>
        <v>1180119</v>
      </c>
      <c r="E73" s="5" t="s">
        <v>20</v>
      </c>
      <c r="J73" s="2" t="s">
        <v>36</v>
      </c>
      <c r="K73" s="2" t="s">
        <v>33</v>
      </c>
      <c r="L73" s="2" t="s">
        <v>39</v>
      </c>
      <c r="M73" s="5" t="s">
        <v>37</v>
      </c>
      <c r="N73" s="5" t="s">
        <v>44</v>
      </c>
      <c r="O73" s="5" t="s">
        <v>27</v>
      </c>
      <c r="S73" s="6"/>
      <c r="T73" s="6"/>
      <c r="U73" s="6"/>
      <c r="V73" s="6"/>
      <c r="W73" s="6"/>
      <c r="X73" s="6"/>
    </row>
    <row r="74">
      <c r="A74" s="1" t="str">
        <f>IFERROR(__xludf.DUMMYFUNCTION("""COMPUTED_VALUE"""),"2507-490")</f>
        <v>2507-490</v>
      </c>
      <c r="B74" s="1" t="str">
        <f>IFERROR(__xludf.DUMMYFUNCTION("""COMPUTED_VALUE"""),"Campos-SLO-Remodel-Plans-Takeover")</f>
        <v>Campos-SLO-Remodel-Plans-Takeover</v>
      </c>
      <c r="C74" s="1" t="str">
        <f>IFERROR(__xludf.DUMMYFUNCTION("""COMPUTED_VALUE"""),"A008.2 Architectural Comment Responses")</f>
        <v>A008.2 Architectural Comment Responses</v>
      </c>
      <c r="D74" s="4">
        <f>IFERROR(__xludf.DUMMYFUNCTION("""COMPUTED_VALUE"""),1179952.0)</f>
        <v>1179952</v>
      </c>
      <c r="E74" s="5" t="s">
        <v>20</v>
      </c>
      <c r="J74" s="2" t="s">
        <v>40</v>
      </c>
      <c r="K74" s="2" t="s">
        <v>39</v>
      </c>
      <c r="L74" s="2" t="s">
        <v>50</v>
      </c>
      <c r="M74" s="5" t="s">
        <v>24</v>
      </c>
      <c r="N74" s="5" t="s">
        <v>27</v>
      </c>
      <c r="O74" s="5" t="s">
        <v>48</v>
      </c>
      <c r="S74" s="6"/>
      <c r="T74" s="6"/>
      <c r="U74" s="6"/>
      <c r="V74" s="6"/>
      <c r="W74" s="6"/>
      <c r="X74" s="6"/>
    </row>
    <row r="75">
      <c r="A75" s="1" t="str">
        <f>IFERROR(__xludf.DUMMYFUNCTION("""COMPUTED_VALUE"""),"2507-489")</f>
        <v>2507-489</v>
      </c>
      <c r="B75" s="1" t="str">
        <f>IFERROR(__xludf.DUMMYFUNCTION("""COMPUTED_VALUE"""),"McAllindin-San-Diego-New-SFH")</f>
        <v>McAllindin-San-Diego-New-SFH</v>
      </c>
      <c r="C75" s="1" t="str">
        <f>IFERROR(__xludf.DUMMYFUNCTION("""COMPUTED_VALUE"""),"Paused - Stalled by 3rd Party")</f>
        <v>Paused - Stalled by 3rd Party</v>
      </c>
      <c r="D75" s="4">
        <f>IFERROR(__xludf.DUMMYFUNCTION("""COMPUTED_VALUE"""),1178999.0)</f>
        <v>1178999</v>
      </c>
      <c r="E75" s="5" t="s">
        <v>34</v>
      </c>
      <c r="J75" s="2" t="s">
        <v>40</v>
      </c>
      <c r="K75" s="2" t="s">
        <v>22</v>
      </c>
      <c r="L75" s="2" t="s">
        <v>39</v>
      </c>
      <c r="M75" s="5" t="s">
        <v>37</v>
      </c>
      <c r="N75" s="5" t="s">
        <v>24</v>
      </c>
      <c r="O75" s="5" t="s">
        <v>24</v>
      </c>
      <c r="S75" s="6"/>
      <c r="T75" s="6"/>
      <c r="U75" s="6"/>
      <c r="V75" s="6"/>
      <c r="W75" s="6"/>
      <c r="X75" s="6"/>
    </row>
    <row r="76">
      <c r="A76" s="1" t="str">
        <f>IFERROR(__xludf.DUMMYFUNCTION("""COMPUTED_VALUE"""),"2507-488")</f>
        <v>2507-488</v>
      </c>
      <c r="B76" s="1" t="str">
        <f>IFERROR(__xludf.DUMMYFUNCTION("""COMPUTED_VALUE"""),"Ho-Long-Beach-FROG-JADU")</f>
        <v>Ho-Long-Beach-FROG-JADU</v>
      </c>
      <c r="C76" s="1" t="str">
        <f>IFERROR(__xludf.DUMMYFUNCTION("""COMPUTED_VALUE"""),"A005.8 - Planning Submittal Pending")</f>
        <v>A005.8 - Planning Submittal Pending</v>
      </c>
      <c r="D76" s="4">
        <f>IFERROR(__xludf.DUMMYFUNCTION("""COMPUTED_VALUE"""),1178993.0)</f>
        <v>1178993</v>
      </c>
      <c r="E76" s="5" t="s">
        <v>20</v>
      </c>
      <c r="J76" s="2" t="s">
        <v>26</v>
      </c>
      <c r="K76" s="2" t="s">
        <v>33</v>
      </c>
      <c r="L76" s="2" t="s">
        <v>51</v>
      </c>
      <c r="M76" s="5" t="s">
        <v>24</v>
      </c>
      <c r="N76" s="5" t="s">
        <v>44</v>
      </c>
      <c r="O76" s="5" t="s">
        <v>44</v>
      </c>
      <c r="S76" s="6"/>
      <c r="T76" s="6"/>
      <c r="U76" s="6"/>
      <c r="V76" s="6"/>
      <c r="W76" s="6"/>
      <c r="X76" s="6"/>
    </row>
    <row r="77">
      <c r="A77" s="1" t="str">
        <f>IFERROR(__xludf.DUMMYFUNCTION("""COMPUTED_VALUE"""),"2507-487")</f>
        <v>2507-487</v>
      </c>
      <c r="B77" s="1" t="str">
        <f>IFERROR(__xludf.DUMMYFUNCTION("""COMPUTED_VALUE"""),"Anaheim-Struct-Visit-and-Report")</f>
        <v>Anaheim-Struct-Visit-and-Report</v>
      </c>
      <c r="C77" s="1" t="str">
        <f>IFERROR(__xludf.DUMMYFUNCTION("""COMPUTED_VALUE"""),"Completed - Sent to Client")</f>
        <v>Completed - Sent to Client</v>
      </c>
      <c r="D77" s="4">
        <f>IFERROR(__xludf.DUMMYFUNCTION("""COMPUTED_VALUE"""),1178979.0)</f>
        <v>1178979</v>
      </c>
      <c r="E77" s="5" t="s">
        <v>20</v>
      </c>
      <c r="J77" s="2" t="s">
        <v>23</v>
      </c>
      <c r="K77" s="2" t="s">
        <v>33</v>
      </c>
      <c r="L77" s="2" t="s">
        <v>51</v>
      </c>
      <c r="M77" s="5" t="s">
        <v>44</v>
      </c>
      <c r="N77" s="5" t="s">
        <v>24</v>
      </c>
      <c r="O77" s="5" t="s">
        <v>37</v>
      </c>
      <c r="S77" s="6"/>
      <c r="T77" s="3">
        <v>46005.22544556713</v>
      </c>
      <c r="U77" s="6"/>
      <c r="V77" s="6"/>
      <c r="W77" s="6"/>
      <c r="X77" s="6"/>
    </row>
    <row r="78">
      <c r="A78" s="1" t="str">
        <f>IFERROR(__xludf.DUMMYFUNCTION("""COMPUTED_VALUE"""),"2507-486")</f>
        <v>2507-486</v>
      </c>
      <c r="B78" s="1" t="str">
        <f>IFERROR(__xludf.DUMMYFUNCTION("""COMPUTED_VALUE"""),"Casey-Pauma-Valley-GADU")</f>
        <v>Casey-Pauma-Valley-GADU</v>
      </c>
      <c r="C78" s="1" t="str">
        <f>IFERROR(__xludf.DUMMYFUNCTION("""COMPUTED_VALUE"""),"Abandoned,Expired")</f>
        <v>Abandoned,Expired</v>
      </c>
      <c r="D78" s="4">
        <f>IFERROR(__xludf.DUMMYFUNCTION("""COMPUTED_VALUE"""),1178954.0)</f>
        <v>1178954</v>
      </c>
      <c r="E78" s="5" t="s">
        <v>20</v>
      </c>
      <c r="J78" s="2" t="s">
        <v>51</v>
      </c>
      <c r="K78" s="2" t="s">
        <v>40</v>
      </c>
      <c r="L78" s="2" t="s">
        <v>50</v>
      </c>
      <c r="M78" s="5" t="s">
        <v>48</v>
      </c>
      <c r="N78" s="5" t="s">
        <v>37</v>
      </c>
      <c r="O78" s="5" t="s">
        <v>37</v>
      </c>
      <c r="S78" s="6"/>
      <c r="T78" s="6"/>
      <c r="U78" s="6"/>
      <c r="V78" s="6"/>
      <c r="W78" s="6"/>
      <c r="X78" s="6"/>
    </row>
    <row r="79">
      <c r="A79" s="1" t="str">
        <f>IFERROR(__xludf.DUMMYFUNCTION("""COMPUTED_VALUE"""),"2507-485")</f>
        <v>2507-485</v>
      </c>
      <c r="B79" s="1" t="str">
        <f>IFERROR(__xludf.DUMMYFUNCTION("""COMPUTED_VALUE"""),"Zhunussova-Big-Bear-Plot-Map")</f>
        <v>Zhunussova-Big-Bear-Plot-Map</v>
      </c>
      <c r="C79" s="1" t="str">
        <f>IFERROR(__xludf.DUMMYFUNCTION("""COMPUTED_VALUE"""),"A007.8 Pending Submittal")</f>
        <v>A007.8 Pending Submittal</v>
      </c>
      <c r="D79" s="4">
        <f>IFERROR(__xludf.DUMMYFUNCTION("""COMPUTED_VALUE"""),1174801.0)</f>
        <v>1174801</v>
      </c>
      <c r="E79" s="5" t="s">
        <v>34</v>
      </c>
      <c r="J79" s="2" t="s">
        <v>51</v>
      </c>
      <c r="K79" s="2" t="s">
        <v>39</v>
      </c>
      <c r="L79" s="2" t="s">
        <v>42</v>
      </c>
      <c r="M79" s="5" t="s">
        <v>44</v>
      </c>
      <c r="N79" s="5" t="s">
        <v>24</v>
      </c>
      <c r="O79" s="5" t="s">
        <v>24</v>
      </c>
      <c r="S79" s="6"/>
      <c r="T79" s="6"/>
      <c r="U79" s="6"/>
      <c r="V79" s="6"/>
      <c r="W79" s="6"/>
      <c r="X79" s="6"/>
    </row>
    <row r="80">
      <c r="A80" s="1" t="str">
        <f>IFERROR(__xludf.DUMMYFUNCTION("""COMPUTED_VALUE"""),"2507-484")</f>
        <v>2507-484</v>
      </c>
      <c r="B80" s="1" t="str">
        <f>IFERROR(__xludf.DUMMYFUNCTION("""COMPUTED_VALUE"""),"Choate-Rancho-Mirage-Addition")</f>
        <v>Choate-Rancho-Mirage-Addition</v>
      </c>
      <c r="C80" s="1" t="str">
        <f>IFERROR(__xludf.DUMMYFUNCTION("""COMPUTED_VALUE"""),"A008 Submitted - Waiting on Others")</f>
        <v>A008 Submitted - Waiting on Others</v>
      </c>
      <c r="D80" s="4">
        <f>IFERROR(__xludf.DUMMYFUNCTION("""COMPUTED_VALUE"""),1174786.0)</f>
        <v>1174786</v>
      </c>
      <c r="E80" s="5" t="s">
        <v>20</v>
      </c>
      <c r="J80" s="2" t="s">
        <v>33</v>
      </c>
      <c r="K80" s="2" t="s">
        <v>40</v>
      </c>
      <c r="L80" s="2" t="s">
        <v>39</v>
      </c>
      <c r="M80" s="5" t="s">
        <v>37</v>
      </c>
      <c r="N80" s="5" t="s">
        <v>48</v>
      </c>
      <c r="O80" s="5" t="s">
        <v>44</v>
      </c>
      <c r="S80" s="6"/>
      <c r="T80" s="6"/>
      <c r="U80" s="6"/>
      <c r="V80" s="6"/>
      <c r="W80" s="6"/>
      <c r="X80" s="6"/>
    </row>
    <row r="81">
      <c r="A81" s="1" t="str">
        <f>IFERROR(__xludf.DUMMYFUNCTION("""COMPUTED_VALUE"""),"2507-483")</f>
        <v>2507-483</v>
      </c>
      <c r="B81" s="1" t="str">
        <f>IFERROR(__xludf.DUMMYFUNCTION("""COMPUTED_VALUE"""),"Peters-LA-Patio-Fence-Permitting")</f>
        <v>Peters-LA-Patio-Fence-Permitting</v>
      </c>
      <c r="C81" s="1" t="str">
        <f>IFERROR(__xludf.DUMMYFUNCTION("""COMPUTED_VALUE"""),"A009 Resubmitted")</f>
        <v>A009 Resubmitted</v>
      </c>
      <c r="D81" s="4">
        <f>IFERROR(__xludf.DUMMYFUNCTION("""COMPUTED_VALUE"""),1172965.0)</f>
        <v>1172965</v>
      </c>
      <c r="E81" s="5" t="s">
        <v>20</v>
      </c>
      <c r="J81" s="2" t="s">
        <v>43</v>
      </c>
      <c r="K81" s="2" t="s">
        <v>51</v>
      </c>
      <c r="L81" s="2" t="s">
        <v>22</v>
      </c>
      <c r="M81" s="5" t="s">
        <v>24</v>
      </c>
      <c r="N81" s="5" t="s">
        <v>44</v>
      </c>
      <c r="O81" s="2" t="s">
        <v>24</v>
      </c>
      <c r="S81" s="6"/>
      <c r="T81" s="6"/>
      <c r="U81" s="3">
        <v>46007.0124324537</v>
      </c>
      <c r="V81" s="6"/>
      <c r="W81" s="6"/>
      <c r="X81" s="6"/>
    </row>
    <row r="82">
      <c r="A82" s="1" t="str">
        <f>IFERROR(__xludf.DUMMYFUNCTION("""COMPUTED_VALUE"""),"2507-482")</f>
        <v>2507-482</v>
      </c>
      <c r="B82" s="1" t="str">
        <f>IFERROR(__xludf.DUMMYFUNCTION("""COMPUTED_VALUE"""),"Kapoor-Rpv-Site-Plan")</f>
        <v>Kapoor-Rpv-Site-Plan</v>
      </c>
      <c r="C82" s="1" t="str">
        <f>IFERROR(__xludf.DUMMYFUNCTION("""COMPUTED_VALUE"""),"A008 Submitted - Waiting on Others")</f>
        <v>A008 Submitted - Waiting on Others</v>
      </c>
      <c r="D82" s="4">
        <f>IFERROR(__xludf.DUMMYFUNCTION("""COMPUTED_VALUE"""),1172913.0)</f>
        <v>1172913</v>
      </c>
      <c r="E82" s="5" t="s">
        <v>34</v>
      </c>
      <c r="J82" s="2" t="s">
        <v>25</v>
      </c>
      <c r="K82" s="2" t="s">
        <v>36</v>
      </c>
      <c r="L82" s="2" t="s">
        <v>21</v>
      </c>
      <c r="M82" s="5" t="s">
        <v>37</v>
      </c>
      <c r="N82" s="5" t="s">
        <v>44</v>
      </c>
      <c r="O82" s="5" t="s">
        <v>24</v>
      </c>
      <c r="S82" s="6"/>
      <c r="T82" s="6"/>
      <c r="U82" s="6"/>
      <c r="V82" s="6"/>
      <c r="W82" s="6"/>
      <c r="X82" s="6"/>
    </row>
    <row r="83">
      <c r="A83" s="1" t="str">
        <f>IFERROR(__xludf.DUMMYFUNCTION("""COMPUTED_VALUE"""),"2507-481")</f>
        <v>2507-481</v>
      </c>
      <c r="B83" s="1" t="str">
        <f>IFERROR(__xludf.DUMMYFUNCTION("""COMPUTED_VALUE"""),"Miller-LA-JADU-Room")</f>
        <v>Miller-LA-JADU-Room</v>
      </c>
      <c r="C83" s="1" t="str">
        <f>IFERROR(__xludf.DUMMYFUNCTION("""COMPUTED_VALUE"""),"Approved - Construction Phase")</f>
        <v>Approved - Construction Phase</v>
      </c>
      <c r="D83" s="4">
        <f>IFERROR(__xludf.DUMMYFUNCTION("""COMPUTED_VALUE"""),1168294.0)</f>
        <v>1168294</v>
      </c>
      <c r="E83" s="5" t="s">
        <v>34</v>
      </c>
      <c r="J83" s="2" t="s">
        <v>22</v>
      </c>
      <c r="K83" s="2" t="s">
        <v>25</v>
      </c>
      <c r="L83" s="2" t="s">
        <v>47</v>
      </c>
      <c r="M83" s="5" t="s">
        <v>37</v>
      </c>
      <c r="N83" s="5" t="s">
        <v>24</v>
      </c>
      <c r="O83" s="5" t="s">
        <v>24</v>
      </c>
      <c r="S83" s="6"/>
      <c r="T83" s="6"/>
      <c r="U83" s="6"/>
      <c r="V83" s="6"/>
      <c r="W83" s="6"/>
      <c r="X83" s="6"/>
    </row>
    <row r="84">
      <c r="A84" s="1" t="str">
        <f>IFERROR(__xludf.DUMMYFUNCTION("""COMPUTED_VALUE"""),"2507-480")</f>
        <v>2507-480</v>
      </c>
      <c r="B84" s="1" t="str">
        <f>IFERROR(__xludf.DUMMYFUNCTION("""COMPUTED_VALUE"""),"Cheung-Alhambra-Kitchen-Remodel-Permitting")</f>
        <v>Cheung-Alhambra-Kitchen-Remodel-Permitting</v>
      </c>
      <c r="C84" s="1" t="str">
        <f>IFERROR(__xludf.DUMMYFUNCTION("""COMPUTED_VALUE"""),"A008 Submitted - Waiting on Others")</f>
        <v>A008 Submitted - Waiting on Others</v>
      </c>
      <c r="D84" s="4">
        <f>IFERROR(__xludf.DUMMYFUNCTION("""COMPUTED_VALUE"""),1168504.0)</f>
        <v>1168504</v>
      </c>
      <c r="E84" s="5" t="s">
        <v>20</v>
      </c>
      <c r="J84" s="2" t="s">
        <v>50</v>
      </c>
      <c r="K84" s="2" t="s">
        <v>49</v>
      </c>
      <c r="L84" s="2" t="s">
        <v>43</v>
      </c>
      <c r="M84" s="5" t="s">
        <v>44</v>
      </c>
      <c r="N84" s="5" t="s">
        <v>37</v>
      </c>
      <c r="O84" s="5" t="s">
        <v>48</v>
      </c>
      <c r="S84" s="6"/>
      <c r="T84" s="6"/>
      <c r="U84" s="6"/>
      <c r="V84" s="6"/>
      <c r="W84" s="6"/>
      <c r="X84" s="6"/>
    </row>
    <row r="85">
      <c r="A85" s="1" t="str">
        <f>IFERROR(__xludf.DUMMYFUNCTION("""COMPUTED_VALUE"""),"2507-479")</f>
        <v>2507-479</v>
      </c>
      <c r="B85" s="1" t="str">
        <f>IFERROR(__xludf.DUMMYFUNCTION("""COMPUTED_VALUE"""),"Smith-Inglewood-Remodel")</f>
        <v>Smith-Inglewood-Remodel</v>
      </c>
      <c r="C85" s="1" t="str">
        <f>IFERROR(__xludf.DUMMYFUNCTION("""COMPUTED_VALUE"""),"A005.9 - Submitted to Planning")</f>
        <v>A005.9 - Submitted to Planning</v>
      </c>
      <c r="D85" s="4">
        <f>IFERROR(__xludf.DUMMYFUNCTION("""COMPUTED_VALUE"""),1166217.0)</f>
        <v>1166217</v>
      </c>
      <c r="E85" s="5" t="s">
        <v>20</v>
      </c>
      <c r="J85" s="2" t="s">
        <v>47</v>
      </c>
      <c r="K85" s="2" t="s">
        <v>32</v>
      </c>
      <c r="L85" s="2" t="s">
        <v>32</v>
      </c>
      <c r="M85" s="5" t="s">
        <v>24</v>
      </c>
      <c r="N85" s="5" t="s">
        <v>37</v>
      </c>
      <c r="O85" s="5" t="s">
        <v>48</v>
      </c>
      <c r="S85" s="6"/>
      <c r="T85" s="6"/>
      <c r="U85" s="6"/>
      <c r="V85" s="6"/>
      <c r="W85" s="6"/>
      <c r="X85" s="6"/>
    </row>
    <row r="86">
      <c r="A86" s="1" t="str">
        <f>IFERROR(__xludf.DUMMYFUNCTION("""COMPUTED_VALUE"""),"2507-478")</f>
        <v>2507-478</v>
      </c>
      <c r="B86" s="1" t="str">
        <f>IFERROR(__xludf.DUMMYFUNCTION("""COMPUTED_VALUE"""),"Durazo-Banning-Second-Floor-Plans")</f>
        <v>Durazo-Banning-Second-Floor-Plans</v>
      </c>
      <c r="C86" s="1" t="str">
        <f>IFERROR(__xludf.DUMMYFUNCTION("""COMPUTED_VALUE"""),"A006.5 - Structural Engineering")</f>
        <v>A006.5 - Structural Engineering</v>
      </c>
      <c r="D86" s="4">
        <f>IFERROR(__xludf.DUMMYFUNCTION("""COMPUTED_VALUE"""),1165960.0)</f>
        <v>1165960</v>
      </c>
      <c r="E86" s="5" t="s">
        <v>20</v>
      </c>
      <c r="J86" s="2" t="s">
        <v>49</v>
      </c>
      <c r="K86" s="2" t="s">
        <v>21</v>
      </c>
      <c r="L86" s="2" t="s">
        <v>26</v>
      </c>
      <c r="M86" s="5" t="s">
        <v>27</v>
      </c>
      <c r="N86" s="5" t="s">
        <v>48</v>
      </c>
      <c r="O86" s="5" t="s">
        <v>24</v>
      </c>
      <c r="S86" s="6"/>
      <c r="T86" s="6"/>
      <c r="U86" s="6"/>
      <c r="V86" s="6"/>
      <c r="W86" s="6"/>
      <c r="X86" s="6"/>
    </row>
    <row r="87">
      <c r="A87" s="1" t="str">
        <f>IFERROR(__xludf.DUMMYFUNCTION("""COMPUTED_VALUE"""),"2507-477")</f>
        <v>2507-477</v>
      </c>
      <c r="B87" s="1" t="str">
        <f>IFERROR(__xludf.DUMMYFUNCTION("""COMPUTED_VALUE"""),"Cheung-Alhambra-ADU-Permitting")</f>
        <v>Cheung-Alhambra-ADU-Permitting</v>
      </c>
      <c r="C87" s="1" t="str">
        <f>IFERROR(__xludf.DUMMYFUNCTION("""COMPUTED_VALUE"""),"A008.8 Pending Resubmittal")</f>
        <v>A008.8 Pending Resubmittal</v>
      </c>
      <c r="D87" s="4">
        <f>IFERROR(__xludf.DUMMYFUNCTION("""COMPUTED_VALUE"""),1164846.0)</f>
        <v>1164846</v>
      </c>
      <c r="E87" s="5" t="s">
        <v>34</v>
      </c>
      <c r="J87" s="2" t="s">
        <v>35</v>
      </c>
      <c r="K87" s="2" t="s">
        <v>50</v>
      </c>
      <c r="L87" s="2" t="s">
        <v>42</v>
      </c>
      <c r="M87" s="5" t="s">
        <v>48</v>
      </c>
      <c r="N87" s="5" t="s">
        <v>48</v>
      </c>
      <c r="O87" s="5" t="s">
        <v>44</v>
      </c>
      <c r="S87" s="6"/>
      <c r="T87" s="6"/>
      <c r="U87" s="6"/>
      <c r="V87" s="6"/>
      <c r="W87" s="6"/>
      <c r="X87" s="6"/>
    </row>
    <row r="88">
      <c r="A88" s="1" t="str">
        <f>IFERROR(__xludf.DUMMYFUNCTION("""COMPUTED_VALUE"""),"2507-476")</f>
        <v>2507-476</v>
      </c>
      <c r="B88" s="1" t="str">
        <f>IFERROR(__xludf.DUMMYFUNCTION("""COMPUTED_VALUE"""),"Marcus-LA-GADU")</f>
        <v>Marcus-LA-GADU</v>
      </c>
      <c r="C88" s="1" t="str">
        <f>IFERROR(__xludf.DUMMYFUNCTION("""COMPUTED_VALUE"""),"A008.5 Structural Engineering Corrections")</f>
        <v>A008.5 Structural Engineering Corrections</v>
      </c>
      <c r="D88" s="4">
        <f>IFERROR(__xludf.DUMMYFUNCTION("""COMPUTED_VALUE"""),1163445.0)</f>
        <v>1163445</v>
      </c>
      <c r="E88" s="5" t="s">
        <v>34</v>
      </c>
      <c r="J88" s="2" t="s">
        <v>43</v>
      </c>
      <c r="K88" s="2" t="s">
        <v>25</v>
      </c>
      <c r="L88" s="2" t="s">
        <v>26</v>
      </c>
      <c r="M88" s="5" t="s">
        <v>37</v>
      </c>
      <c r="N88" s="5" t="s">
        <v>37</v>
      </c>
      <c r="O88" s="5" t="s">
        <v>44</v>
      </c>
      <c r="S88" s="6"/>
      <c r="T88" s="6"/>
      <c r="U88" s="6"/>
      <c r="V88" s="6"/>
      <c r="W88" s="6"/>
      <c r="X88" s="6"/>
    </row>
    <row r="89">
      <c r="A89" s="1" t="str">
        <f>IFERROR(__xludf.DUMMYFUNCTION("""COMPUTED_VALUE"""),"2507-475")</f>
        <v>2507-475</v>
      </c>
      <c r="B89" s="1" t="str">
        <f>IFERROR(__xludf.DUMMYFUNCTION("""COMPUTED_VALUE"""),"Isaacs-Altadena-Fire-Rebuild")</f>
        <v>Isaacs-Altadena-Fire-Rebuild</v>
      </c>
      <c r="C89" s="1" t="str">
        <f>IFERROR(__xludf.DUMMYFUNCTION("""COMPUTED_VALUE"""),"A008.6 Arch Packaging Re-Submittal")</f>
        <v>A008.6 Arch Packaging Re-Submittal</v>
      </c>
      <c r="D89" s="4">
        <f>IFERROR(__xludf.DUMMYFUNCTION("""COMPUTED_VALUE"""),1160646.0)</f>
        <v>1160646</v>
      </c>
      <c r="E89" s="5" t="s">
        <v>20</v>
      </c>
      <c r="J89" s="2" t="s">
        <v>22</v>
      </c>
      <c r="K89" s="2" t="s">
        <v>50</v>
      </c>
      <c r="L89" s="2" t="s">
        <v>43</v>
      </c>
      <c r="M89" s="2" t="s">
        <v>24</v>
      </c>
      <c r="N89" s="5" t="s">
        <v>48</v>
      </c>
      <c r="O89" s="5" t="s">
        <v>48</v>
      </c>
      <c r="S89" s="3">
        <v>46007.0124659838</v>
      </c>
      <c r="T89" s="6"/>
      <c r="U89" s="6"/>
      <c r="V89" s="6"/>
      <c r="W89" s="6"/>
      <c r="X89" s="6"/>
    </row>
    <row r="90">
      <c r="A90" s="1" t="str">
        <f>IFERROR(__xludf.DUMMYFUNCTION("""COMPUTED_VALUE"""),"2507-474")</f>
        <v>2507-474</v>
      </c>
      <c r="B90" s="1" t="str">
        <f>IFERROR(__xludf.DUMMYFUNCTION("""COMPUTED_VALUE"""),"Vandenoever-SB-Permitting")</f>
        <v>Vandenoever-SB-Permitting</v>
      </c>
      <c r="C90" s="1" t="str">
        <f>IFERROR(__xludf.DUMMYFUNCTION("""COMPUTED_VALUE"""),"A006.5 - Structural Engineering")</f>
        <v>A006.5 - Structural Engineering</v>
      </c>
      <c r="D90" s="4">
        <f>IFERROR(__xludf.DUMMYFUNCTION("""COMPUTED_VALUE"""),1160590.0)</f>
        <v>1160590</v>
      </c>
      <c r="E90" s="5" t="s">
        <v>20</v>
      </c>
      <c r="J90" s="2" t="s">
        <v>42</v>
      </c>
      <c r="K90" s="2" t="s">
        <v>25</v>
      </c>
      <c r="L90" s="2" t="s">
        <v>22</v>
      </c>
      <c r="M90" s="5" t="s">
        <v>24</v>
      </c>
      <c r="N90" s="5" t="s">
        <v>24</v>
      </c>
      <c r="O90" s="5" t="s">
        <v>24</v>
      </c>
      <c r="S90" s="6"/>
      <c r="T90" s="6"/>
      <c r="U90" s="6"/>
      <c r="V90" s="6"/>
      <c r="W90" s="6"/>
      <c r="X90" s="6"/>
    </row>
    <row r="91">
      <c r="A91" s="1" t="str">
        <f>IFERROR(__xludf.DUMMYFUNCTION("""COMPUTED_VALUE"""),"2507-473")</f>
        <v>2507-473</v>
      </c>
      <c r="B91" s="1" t="str">
        <f>IFERROR(__xludf.DUMMYFUNCTION("""COMPUTED_VALUE"""),"Hao-Rosemead-ADU-Permitting")</f>
        <v>Hao-Rosemead-ADU-Permitting</v>
      </c>
      <c r="C91" s="1" t="str">
        <f>IFERROR(__xludf.DUMMYFUNCTION("""COMPUTED_VALUE"""),"A009 Resubmitted")</f>
        <v>A009 Resubmitted</v>
      </c>
      <c r="D91" s="4">
        <f>IFERROR(__xludf.DUMMYFUNCTION("""COMPUTED_VALUE"""),1160515.0)</f>
        <v>1160515</v>
      </c>
      <c r="E91" s="5" t="s">
        <v>20</v>
      </c>
      <c r="J91" s="2" t="s">
        <v>21</v>
      </c>
      <c r="K91" s="2" t="s">
        <v>49</v>
      </c>
      <c r="L91" s="2" t="s">
        <v>47</v>
      </c>
      <c r="M91" s="2" t="s">
        <v>37</v>
      </c>
      <c r="N91" s="5" t="s">
        <v>24</v>
      </c>
      <c r="O91" s="5" t="s">
        <v>37</v>
      </c>
      <c r="S91" s="3">
        <v>46006.98202920139</v>
      </c>
      <c r="T91" s="6"/>
      <c r="U91" s="6"/>
      <c r="V91" s="6"/>
      <c r="W91" s="6"/>
      <c r="X91" s="6"/>
    </row>
    <row r="92">
      <c r="A92" s="1" t="str">
        <f>IFERROR(__xludf.DUMMYFUNCTION("""COMPUTED_VALUE"""),"2507-472")</f>
        <v>2507-472</v>
      </c>
      <c r="B92" s="1" t="str">
        <f>IFERROR(__xludf.DUMMYFUNCTION("""COMPUTED_VALUE"""),"Zamourka-Phelan-Outbuilding-Permitting")</f>
        <v>Zamourka-Phelan-Outbuilding-Permitting</v>
      </c>
      <c r="C92" s="1" t="str">
        <f>IFERROR(__xludf.DUMMYFUNCTION("""COMPUTED_VALUE"""),"A007.8 Pending Submittal")</f>
        <v>A007.8 Pending Submittal</v>
      </c>
      <c r="D92" s="4">
        <f>IFERROR(__xludf.DUMMYFUNCTION("""COMPUTED_VALUE"""),1160303.0)</f>
        <v>1160303</v>
      </c>
      <c r="E92" s="5" t="s">
        <v>34</v>
      </c>
      <c r="J92" s="2" t="s">
        <v>40</v>
      </c>
      <c r="K92" s="2" t="s">
        <v>47</v>
      </c>
      <c r="L92" s="2" t="s">
        <v>39</v>
      </c>
      <c r="M92" s="5" t="s">
        <v>24</v>
      </c>
      <c r="N92" s="5" t="s">
        <v>44</v>
      </c>
      <c r="O92" s="5" t="s">
        <v>37</v>
      </c>
      <c r="S92" s="6"/>
      <c r="T92" s="6"/>
      <c r="U92" s="6"/>
      <c r="V92" s="6"/>
      <c r="W92" s="6"/>
      <c r="X92" s="6"/>
    </row>
    <row r="93">
      <c r="A93" s="1" t="str">
        <f>IFERROR(__xludf.DUMMYFUNCTION("""COMPUTED_VALUE"""),"2507-471")</f>
        <v>2507-471</v>
      </c>
      <c r="B93" s="1" t="str">
        <f>IFERROR(__xludf.DUMMYFUNCTION("""COMPUTED_VALUE"""),"Law-LA-JADU-Permit")</f>
        <v>Law-LA-JADU-Permit</v>
      </c>
      <c r="C93" s="1" t="str">
        <f>IFERROR(__xludf.DUMMYFUNCTION("""COMPUTED_VALUE"""),"Approved - Construction Phase")</f>
        <v>Approved - Construction Phase</v>
      </c>
      <c r="D93" s="4">
        <f>IFERROR(__xludf.DUMMYFUNCTION("""COMPUTED_VALUE"""),1152093.0)</f>
        <v>1152093</v>
      </c>
      <c r="E93" s="5" t="s">
        <v>20</v>
      </c>
      <c r="J93" s="2" t="s">
        <v>33</v>
      </c>
      <c r="K93" s="2" t="s">
        <v>51</v>
      </c>
      <c r="L93" s="2" t="s">
        <v>33</v>
      </c>
      <c r="M93" s="5" t="s">
        <v>37</v>
      </c>
      <c r="N93" s="5" t="s">
        <v>48</v>
      </c>
      <c r="O93" s="5" t="s">
        <v>27</v>
      </c>
      <c r="S93" s="6"/>
      <c r="T93" s="6"/>
      <c r="U93" s="6"/>
      <c r="V93" s="6"/>
      <c r="W93" s="6"/>
      <c r="X93" s="6"/>
    </row>
    <row r="94">
      <c r="A94" s="1" t="str">
        <f>IFERROR(__xludf.DUMMYFUNCTION("""COMPUTED_VALUE"""),"2506-470")</f>
        <v>2506-470</v>
      </c>
      <c r="B94" s="1" t="str">
        <f>IFERROR(__xludf.DUMMYFUNCTION("""COMPUTED_VALUE"""),"Banuelos-Temecula-Kitchen-Remodel")</f>
        <v>Banuelos-Temecula-Kitchen-Remodel</v>
      </c>
      <c r="C94" s="1" t="str">
        <f>IFERROR(__xludf.DUMMYFUNCTION("""COMPUTED_VALUE"""),"A008 Submitted - Waiting on Others")</f>
        <v>A008 Submitted - Waiting on Others</v>
      </c>
      <c r="D94" s="4">
        <f>IFERROR(__xludf.DUMMYFUNCTION("""COMPUTED_VALUE"""),1150298.0)</f>
        <v>1150298</v>
      </c>
      <c r="E94" s="5" t="s">
        <v>34</v>
      </c>
      <c r="J94" s="2" t="s">
        <v>47</v>
      </c>
      <c r="K94" s="2" t="s">
        <v>51</v>
      </c>
      <c r="L94" s="2" t="s">
        <v>47</v>
      </c>
      <c r="M94" s="5" t="s">
        <v>24</v>
      </c>
      <c r="N94" s="5" t="s">
        <v>44</v>
      </c>
      <c r="O94" s="5" t="s">
        <v>24</v>
      </c>
      <c r="S94" s="6"/>
      <c r="T94" s="6"/>
      <c r="U94" s="6"/>
      <c r="V94" s="6"/>
      <c r="W94" s="6"/>
      <c r="X94" s="6"/>
    </row>
    <row r="95">
      <c r="A95" s="1" t="str">
        <f>IFERROR(__xludf.DUMMYFUNCTION("""COMPUTED_VALUE"""),"2506-469")</f>
        <v>2506-469</v>
      </c>
      <c r="B95" s="1" t="str">
        <f>IFERROR(__xludf.DUMMYFUNCTION("""COMPUTED_VALUE"""),"Jiang-Oceanside-Remodel")</f>
        <v>Jiang-Oceanside-Remodel</v>
      </c>
      <c r="C95" s="1" t="str">
        <f>IFERROR(__xludf.DUMMYFUNCTION("""COMPUTED_VALUE"""),"Approved - Construction Phase")</f>
        <v>Approved - Construction Phase</v>
      </c>
      <c r="D95" s="4">
        <f>IFERROR(__xludf.DUMMYFUNCTION("""COMPUTED_VALUE"""),1149044.0)</f>
        <v>1149044</v>
      </c>
      <c r="E95" s="5" t="s">
        <v>20</v>
      </c>
      <c r="J95" s="2" t="s">
        <v>35</v>
      </c>
      <c r="K95" s="2" t="s">
        <v>32</v>
      </c>
      <c r="L95" s="2" t="s">
        <v>43</v>
      </c>
      <c r="M95" s="5" t="s">
        <v>27</v>
      </c>
      <c r="N95" s="5" t="s">
        <v>27</v>
      </c>
      <c r="O95" s="5" t="s">
        <v>27</v>
      </c>
      <c r="S95" s="6"/>
      <c r="T95" s="6"/>
      <c r="U95" s="6"/>
      <c r="V95" s="6"/>
      <c r="W95" s="6"/>
      <c r="X95" s="6"/>
    </row>
    <row r="96">
      <c r="A96" s="1" t="str">
        <f>IFERROR(__xludf.DUMMYFUNCTION("""COMPUTED_VALUE"""),"2506-468")</f>
        <v>2506-468</v>
      </c>
      <c r="B96" s="1" t="str">
        <f>IFERROR(__xludf.DUMMYFUNCTION("""COMPUTED_VALUE"""),"Pena-Arrowhead-Coffee-Shop-Site-Plan")</f>
        <v>Pena-Arrowhead-Coffee-Shop-Site-Plan</v>
      </c>
      <c r="C96" s="1" t="str">
        <f>IFERROR(__xludf.DUMMYFUNCTION("""COMPUTED_VALUE"""),"Completed - Sent to Client")</f>
        <v>Completed - Sent to Client</v>
      </c>
      <c r="D96" s="4">
        <f>IFERROR(__xludf.DUMMYFUNCTION("""COMPUTED_VALUE"""),1149038.0)</f>
        <v>1149038</v>
      </c>
      <c r="E96" s="5" t="s">
        <v>34</v>
      </c>
      <c r="J96" s="2" t="s">
        <v>35</v>
      </c>
      <c r="K96" s="2" t="s">
        <v>39</v>
      </c>
      <c r="L96" s="2" t="s">
        <v>32</v>
      </c>
      <c r="M96" s="5" t="s">
        <v>44</v>
      </c>
      <c r="N96" s="5" t="s">
        <v>27</v>
      </c>
      <c r="O96" s="5" t="s">
        <v>27</v>
      </c>
      <c r="S96" s="6"/>
      <c r="T96" s="6"/>
      <c r="U96" s="6"/>
      <c r="V96" s="6"/>
      <c r="W96" s="6"/>
      <c r="X96" s="6"/>
    </row>
    <row r="97">
      <c r="A97" s="1" t="str">
        <f>IFERROR(__xludf.DUMMYFUNCTION("""COMPUTED_VALUE"""),"2506-467")</f>
        <v>2506-467</v>
      </c>
      <c r="B97" s="1" t="str">
        <f>IFERROR(__xludf.DUMMYFUNCTION("""COMPUTED_VALUE"""),"Velasco-Northridge-ADU")</f>
        <v>Velasco-Northridge-ADU</v>
      </c>
      <c r="C97" s="1" t="str">
        <f>IFERROR(__xludf.DUMMYFUNCTION("""COMPUTED_VALUE"""),"Approved - Construction Phase")</f>
        <v>Approved - Construction Phase</v>
      </c>
      <c r="D97" s="4">
        <f>IFERROR(__xludf.DUMMYFUNCTION("""COMPUTED_VALUE"""),1148957.0)</f>
        <v>1148957</v>
      </c>
      <c r="E97" s="5" t="s">
        <v>20</v>
      </c>
      <c r="J97" s="2" t="s">
        <v>35</v>
      </c>
      <c r="K97" s="2" t="s">
        <v>36</v>
      </c>
      <c r="L97" s="2" t="s">
        <v>33</v>
      </c>
      <c r="M97" s="5" t="s">
        <v>48</v>
      </c>
      <c r="N97" s="5" t="s">
        <v>44</v>
      </c>
      <c r="O97" s="5" t="s">
        <v>48</v>
      </c>
      <c r="S97" s="6"/>
      <c r="T97" s="6"/>
      <c r="U97" s="6"/>
      <c r="V97" s="6"/>
      <c r="W97" s="6"/>
      <c r="X97" s="6"/>
    </row>
    <row r="98">
      <c r="A98" s="1" t="str">
        <f>IFERROR(__xludf.DUMMYFUNCTION("""COMPUTED_VALUE"""),"2506-466")</f>
        <v>2506-466</v>
      </c>
      <c r="B98" s="1" t="str">
        <f>IFERROR(__xludf.DUMMYFUNCTION("""COMPUTED_VALUE"""),"Shears-Santa-Ana-Site-Plan")</f>
        <v>Shears-Santa-Ana-Site-Plan</v>
      </c>
      <c r="C98" s="1" t="str">
        <f>IFERROR(__xludf.DUMMYFUNCTION("""COMPUTED_VALUE"""),"Completed - Sent to Client")</f>
        <v>Completed - Sent to Client</v>
      </c>
      <c r="D98" s="4">
        <f>IFERROR(__xludf.DUMMYFUNCTION("""COMPUTED_VALUE"""),1145089.0)</f>
        <v>1145089</v>
      </c>
      <c r="E98" s="5" t="s">
        <v>20</v>
      </c>
      <c r="J98" s="2" t="s">
        <v>35</v>
      </c>
      <c r="K98" s="2" t="s">
        <v>39</v>
      </c>
      <c r="L98" s="2" t="s">
        <v>21</v>
      </c>
      <c r="M98" s="5" t="s">
        <v>44</v>
      </c>
      <c r="N98" s="5" t="s">
        <v>48</v>
      </c>
      <c r="O98" s="2" t="s">
        <v>37</v>
      </c>
      <c r="S98" s="6"/>
      <c r="T98" s="6"/>
      <c r="U98" s="3">
        <v>46006.99888868055</v>
      </c>
      <c r="V98" s="6"/>
      <c r="W98" s="6"/>
      <c r="X98" s="6"/>
    </row>
    <row r="99">
      <c r="A99" s="1" t="str">
        <f>IFERROR(__xludf.DUMMYFUNCTION("""COMPUTED_VALUE"""),"2506-465")</f>
        <v>2506-465</v>
      </c>
      <c r="B99" s="1" t="str">
        <f>IFERROR(__xludf.DUMMYFUNCTION("""COMPUTED_VALUE"""),"Akhavan-Palisades-SFH-Fire-Rebuild")</f>
        <v>Akhavan-Palisades-SFH-Fire-Rebuild</v>
      </c>
      <c r="C99" s="1" t="str">
        <f>IFERROR(__xludf.DUMMYFUNCTION("""COMPUTED_VALUE"""),"A008.2 Architectural Comment Responses")</f>
        <v>A008.2 Architectural Comment Responses</v>
      </c>
      <c r="D99" s="4">
        <f>IFERROR(__xludf.DUMMYFUNCTION("""COMPUTED_VALUE"""),1143685.0)</f>
        <v>1143685</v>
      </c>
      <c r="E99" s="5" t="s">
        <v>20</v>
      </c>
      <c r="J99" s="2" t="s">
        <v>39</v>
      </c>
      <c r="K99" s="2" t="s">
        <v>23</v>
      </c>
      <c r="L99" s="2" t="s">
        <v>42</v>
      </c>
      <c r="M99" s="5" t="s">
        <v>44</v>
      </c>
      <c r="N99" s="5" t="s">
        <v>37</v>
      </c>
      <c r="O99" s="5" t="s">
        <v>27</v>
      </c>
      <c r="S99" s="6"/>
      <c r="T99" s="6"/>
      <c r="U99" s="6"/>
      <c r="V99" s="6"/>
      <c r="W99" s="6"/>
      <c r="X99" s="6"/>
    </row>
    <row r="100">
      <c r="A100" s="1" t="str">
        <f>IFERROR(__xludf.DUMMYFUNCTION("""COMPUTED_VALUE"""),"2506-464")</f>
        <v>2506-464</v>
      </c>
      <c r="B100" s="1" t="str">
        <f>IFERROR(__xludf.DUMMYFUNCTION("""COMPUTED_VALUE"""),"Bush-Coronado-Remodel")</f>
        <v>Bush-Coronado-Remodel</v>
      </c>
      <c r="C100" s="1" t="str">
        <f>IFERROR(__xludf.DUMMYFUNCTION("""COMPUTED_VALUE"""),"A008.2 Architectural Comment Responses")</f>
        <v>A008.2 Architectural Comment Responses</v>
      </c>
      <c r="D100" s="4">
        <f>IFERROR(__xludf.DUMMYFUNCTION("""COMPUTED_VALUE"""),1140877.0)</f>
        <v>1140877</v>
      </c>
      <c r="E100" s="5" t="s">
        <v>34</v>
      </c>
      <c r="J100" s="2" t="s">
        <v>21</v>
      </c>
      <c r="K100" s="2" t="s">
        <v>47</v>
      </c>
      <c r="L100" s="2" t="s">
        <v>23</v>
      </c>
      <c r="M100" s="5" t="s">
        <v>24</v>
      </c>
      <c r="N100" s="5" t="s">
        <v>27</v>
      </c>
      <c r="O100" s="5" t="s">
        <v>37</v>
      </c>
      <c r="S100" s="6"/>
      <c r="T100" s="6"/>
      <c r="U100" s="6"/>
      <c r="V100" s="6"/>
      <c r="W100" s="6"/>
      <c r="X100" s="6"/>
    </row>
    <row r="101">
      <c r="A101" s="1" t="str">
        <f>IFERROR(__xludf.DUMMYFUNCTION("""COMPUTED_VALUE"""),"2506-463")</f>
        <v>2506-463</v>
      </c>
      <c r="B101" s="1" t="str">
        <f>IFERROR(__xludf.DUMMYFUNCTION("""COMPUTED_VALUE"""),"O'Hearn-Palm-Springs-GADU-Master-Remodel")</f>
        <v>O'Hearn-Palm-Springs-GADU-Master-Remodel</v>
      </c>
      <c r="C101" s="1" t="str">
        <f>IFERROR(__xludf.DUMMYFUNCTION("""COMPUTED_VALUE"""),"A009 Resubmitted")</f>
        <v>A009 Resubmitted</v>
      </c>
      <c r="D101" s="4">
        <f>IFERROR(__xludf.DUMMYFUNCTION("""COMPUTED_VALUE"""),1132703.0)</f>
        <v>1132703</v>
      </c>
      <c r="E101" s="5" t="s">
        <v>34</v>
      </c>
      <c r="J101" s="2" t="s">
        <v>26</v>
      </c>
      <c r="K101" s="2" t="s">
        <v>23</v>
      </c>
      <c r="L101" s="2" t="s">
        <v>43</v>
      </c>
      <c r="M101" s="5" t="s">
        <v>44</v>
      </c>
      <c r="N101" s="5" t="s">
        <v>44</v>
      </c>
      <c r="O101" s="5" t="s">
        <v>44</v>
      </c>
      <c r="S101" s="6"/>
      <c r="T101" s="6"/>
      <c r="U101" s="6"/>
      <c r="V101" s="6"/>
      <c r="W101" s="6"/>
      <c r="X101" s="6"/>
    </row>
    <row r="102">
      <c r="A102" s="1" t="str">
        <f>IFERROR(__xludf.DUMMYFUNCTION("""COMPUTED_VALUE"""),"2506-462")</f>
        <v>2506-462</v>
      </c>
      <c r="B102" s="1" t="str">
        <f>IFERROR(__xludf.DUMMYFUNCTION("""COMPUTED_VALUE"""),"Lopez-Riverside-ADU")</f>
        <v>Lopez-Riverside-ADU</v>
      </c>
      <c r="C102" s="1" t="str">
        <f>IFERROR(__xludf.DUMMYFUNCTION("""COMPUTED_VALUE"""),"A008 Submitted - Waiting on Others")</f>
        <v>A008 Submitted - Waiting on Others</v>
      </c>
      <c r="D102" s="4">
        <f>IFERROR(__xludf.DUMMYFUNCTION("""COMPUTED_VALUE"""),1128451.0)</f>
        <v>1128451</v>
      </c>
      <c r="E102" s="5" t="s">
        <v>34</v>
      </c>
      <c r="J102" s="2" t="s">
        <v>35</v>
      </c>
      <c r="K102" s="2" t="s">
        <v>43</v>
      </c>
      <c r="L102" s="2" t="s">
        <v>49</v>
      </c>
      <c r="M102" s="5" t="s">
        <v>37</v>
      </c>
      <c r="N102" s="5" t="s">
        <v>44</v>
      </c>
      <c r="O102" s="5" t="s">
        <v>37</v>
      </c>
      <c r="S102" s="6"/>
      <c r="T102" s="6"/>
      <c r="U102" s="6"/>
      <c r="V102" s="6"/>
      <c r="W102" s="6"/>
      <c r="X102" s="6"/>
    </row>
    <row r="103">
      <c r="A103" s="1" t="str">
        <f>IFERROR(__xludf.DUMMYFUNCTION("""COMPUTED_VALUE"""),"2506-461")</f>
        <v>2506-461</v>
      </c>
      <c r="B103" s="1" t="str">
        <f>IFERROR(__xludf.DUMMYFUNCTION("""COMPUTED_VALUE"""),"Strassenberg-La-Jolla-Additions-Permitting")</f>
        <v>Strassenberg-La-Jolla-Additions-Permitting</v>
      </c>
      <c r="C103" s="1" t="str">
        <f>IFERROR(__xludf.DUMMYFUNCTION("""COMPUTED_VALUE"""),"A005 Architectural &amp; Structural (CD's)")</f>
        <v>A005 Architectural &amp; Structural (CD's)</v>
      </c>
      <c r="D103" s="4">
        <f>IFERROR(__xludf.DUMMYFUNCTION("""COMPUTED_VALUE"""),1124062.0)</f>
        <v>1124062</v>
      </c>
      <c r="E103" s="5" t="s">
        <v>20</v>
      </c>
      <c r="J103" s="2" t="s">
        <v>32</v>
      </c>
      <c r="K103" s="2" t="s">
        <v>21</v>
      </c>
      <c r="L103" s="2" t="s">
        <v>51</v>
      </c>
      <c r="M103" s="5" t="s">
        <v>24</v>
      </c>
      <c r="N103" s="5" t="s">
        <v>37</v>
      </c>
      <c r="O103" s="5" t="s">
        <v>37</v>
      </c>
      <c r="S103" s="6"/>
      <c r="T103" s="6"/>
      <c r="U103" s="6"/>
      <c r="V103" s="6"/>
      <c r="W103" s="6"/>
      <c r="X103" s="6"/>
    </row>
    <row r="104">
      <c r="A104" s="1" t="str">
        <f>IFERROR(__xludf.DUMMYFUNCTION("""COMPUTED_VALUE"""),"2505-460")</f>
        <v>2505-460</v>
      </c>
      <c r="B104" s="1" t="str">
        <f>IFERROR(__xludf.DUMMYFUNCTION("""COMPUTED_VALUE"""),"Sebastiani-West-Hollywood-FROG-ADU")</f>
        <v>Sebastiani-West-Hollywood-FROG-ADU</v>
      </c>
      <c r="C104" s="1" t="str">
        <f>IFERROR(__xludf.DUMMYFUNCTION("""COMPUTED_VALUE"""),"A008.8 Pending Resubmittal")</f>
        <v>A008.8 Pending Resubmittal</v>
      </c>
      <c r="D104" s="4">
        <f>IFERROR(__xludf.DUMMYFUNCTION("""COMPUTED_VALUE"""),1121622.0)</f>
        <v>1121622</v>
      </c>
      <c r="E104" s="5" t="s">
        <v>34</v>
      </c>
      <c r="J104" s="2" t="s">
        <v>49</v>
      </c>
      <c r="K104" s="2" t="s">
        <v>49</v>
      </c>
      <c r="L104" s="2" t="s">
        <v>47</v>
      </c>
      <c r="M104" s="5" t="s">
        <v>48</v>
      </c>
      <c r="N104" s="5" t="s">
        <v>37</v>
      </c>
      <c r="O104" s="5" t="s">
        <v>37</v>
      </c>
      <c r="S104" s="6"/>
      <c r="T104" s="6"/>
      <c r="U104" s="6"/>
      <c r="V104" s="6"/>
      <c r="W104" s="6"/>
      <c r="X104" s="6"/>
    </row>
    <row r="105">
      <c r="A105" s="1" t="str">
        <f>IFERROR(__xludf.DUMMYFUNCTION("""COMPUTED_VALUE"""),"2505-459")</f>
        <v>2505-459</v>
      </c>
      <c r="B105" s="1" t="str">
        <f>IFERROR(__xludf.DUMMYFUNCTION("""COMPUTED_VALUE"""),"Goodenough-Santa-Barbara-Garage-JADU")</f>
        <v>Goodenough-Santa-Barbara-Garage-JADU</v>
      </c>
      <c r="C105" s="1" t="str">
        <f>IFERROR(__xludf.DUMMYFUNCTION("""COMPUTED_VALUE"""),"A008.8 Pending Resubmittal")</f>
        <v>A008.8 Pending Resubmittal</v>
      </c>
      <c r="D105" s="4">
        <f>IFERROR(__xludf.DUMMYFUNCTION("""COMPUTED_VALUE"""),1114691.0)</f>
        <v>1114691</v>
      </c>
      <c r="E105" s="5" t="s">
        <v>20</v>
      </c>
      <c r="F105" s="2"/>
      <c r="J105" s="2" t="s">
        <v>43</v>
      </c>
      <c r="K105" s="2" t="s">
        <v>40</v>
      </c>
      <c r="L105" s="2" t="s">
        <v>50</v>
      </c>
      <c r="M105" s="5" t="s">
        <v>37</v>
      </c>
      <c r="N105" s="5" t="s">
        <v>44</v>
      </c>
      <c r="O105" s="5" t="s">
        <v>44</v>
      </c>
      <c r="S105" s="6"/>
      <c r="T105" s="6"/>
      <c r="U105" s="6"/>
      <c r="V105" s="3">
        <v>46005.54551708333</v>
      </c>
      <c r="W105" s="3">
        <v>46005.54502984954</v>
      </c>
      <c r="X105" s="6"/>
    </row>
    <row r="106">
      <c r="A106" s="1" t="str">
        <f>IFERROR(__xludf.DUMMYFUNCTION("""COMPUTED_VALUE"""),"2505-458")</f>
        <v>2505-458</v>
      </c>
      <c r="B106" s="1" t="str">
        <f>IFERROR(__xludf.DUMMYFUNCTION("""COMPUTED_VALUE"""),"Zarro-Menifee-Structural-Only")</f>
        <v>Zarro-Menifee-Structural-Only</v>
      </c>
      <c r="C106" s="1" t="str">
        <f>IFERROR(__xludf.DUMMYFUNCTION("""COMPUTED_VALUE"""),"Completed - Sent to Client")</f>
        <v>Completed - Sent to Client</v>
      </c>
      <c r="D106" s="4">
        <f>IFERROR(__xludf.DUMMYFUNCTION("""COMPUTED_VALUE"""),1113149.0)</f>
        <v>1113149</v>
      </c>
      <c r="E106" s="5" t="s">
        <v>20</v>
      </c>
      <c r="J106" s="2" t="s">
        <v>23</v>
      </c>
      <c r="K106" s="2" t="s">
        <v>47</v>
      </c>
      <c r="L106" s="2" t="s">
        <v>25</v>
      </c>
      <c r="M106" s="5" t="s">
        <v>44</v>
      </c>
      <c r="N106" s="5" t="s">
        <v>27</v>
      </c>
      <c r="O106" s="5" t="s">
        <v>27</v>
      </c>
      <c r="S106" s="6"/>
      <c r="T106" s="6"/>
      <c r="U106" s="6"/>
      <c r="V106" s="6"/>
      <c r="W106" s="6"/>
      <c r="X106" s="6"/>
    </row>
    <row r="107">
      <c r="A107" s="1" t="str">
        <f>IFERROR(__xludf.DUMMYFUNCTION("""COMPUTED_VALUE"""),"2505-457")</f>
        <v>2505-457</v>
      </c>
      <c r="B107" s="1" t="str">
        <f>IFERROR(__xludf.DUMMYFUNCTION("""COMPUTED_VALUE"""),"Mathis-Fawnskin-New-Cabin")</f>
        <v>Mathis-Fawnskin-New-Cabin</v>
      </c>
      <c r="C107" s="1" t="str">
        <f>IFERROR(__xludf.DUMMYFUNCTION("""COMPUTED_VALUE"""),"A008.5 Structural Engineering Corrections")</f>
        <v>A008.5 Structural Engineering Corrections</v>
      </c>
      <c r="D107" s="4">
        <f>IFERROR(__xludf.DUMMYFUNCTION("""COMPUTED_VALUE"""),1112985.0)</f>
        <v>1112985</v>
      </c>
      <c r="E107" s="5" t="s">
        <v>20</v>
      </c>
      <c r="J107" s="2" t="s">
        <v>33</v>
      </c>
      <c r="K107" s="2" t="s">
        <v>26</v>
      </c>
      <c r="L107" s="2" t="s">
        <v>42</v>
      </c>
      <c r="M107" s="5" t="s">
        <v>37</v>
      </c>
      <c r="N107" s="5" t="s">
        <v>24</v>
      </c>
      <c r="O107" s="5" t="s">
        <v>24</v>
      </c>
      <c r="S107" s="6"/>
      <c r="T107" s="6"/>
      <c r="U107" s="6"/>
      <c r="V107" s="6"/>
      <c r="W107" s="6"/>
      <c r="X107" s="6"/>
    </row>
    <row r="108">
      <c r="A108" s="1" t="str">
        <f>IFERROR(__xludf.DUMMYFUNCTION("""COMPUTED_VALUE"""),"2505-456")</f>
        <v>2505-456</v>
      </c>
      <c r="B108" s="1" t="str">
        <f>IFERROR(__xludf.DUMMYFUNCTION("""COMPUTED_VALUE"""),"Harris-LA-Sound-Room")</f>
        <v>Harris-LA-Sound-Room</v>
      </c>
      <c r="C108" s="1" t="str">
        <f>IFERROR(__xludf.DUMMYFUNCTION("""COMPUTED_VALUE"""),"Completed - Sent to Client")</f>
        <v>Completed - Sent to Client</v>
      </c>
      <c r="D108" s="4">
        <f>IFERROR(__xludf.DUMMYFUNCTION("""COMPUTED_VALUE"""),1110783.0)</f>
        <v>1110783</v>
      </c>
      <c r="E108" s="5" t="s">
        <v>34</v>
      </c>
      <c r="J108" s="2" t="s">
        <v>50</v>
      </c>
      <c r="K108" s="2" t="s">
        <v>36</v>
      </c>
      <c r="L108" s="2" t="s">
        <v>23</v>
      </c>
      <c r="M108" s="5" t="s">
        <v>48</v>
      </c>
      <c r="N108" s="5" t="s">
        <v>37</v>
      </c>
      <c r="O108" s="5" t="s">
        <v>44</v>
      </c>
      <c r="S108" s="6"/>
      <c r="T108" s="6"/>
      <c r="U108" s="6"/>
      <c r="V108" s="6"/>
      <c r="W108" s="6"/>
      <c r="X108" s="6"/>
    </row>
    <row r="109">
      <c r="A109" s="1" t="str">
        <f>IFERROR(__xludf.DUMMYFUNCTION("""COMPUTED_VALUE"""),"2505-455")</f>
        <v>2505-455</v>
      </c>
      <c r="B109" s="1" t="str">
        <f>IFERROR(__xludf.DUMMYFUNCTION("""COMPUTED_VALUE"""),"Noelle-San-Pedro-Remodel")</f>
        <v>Noelle-San-Pedro-Remodel</v>
      </c>
      <c r="C109" s="1" t="str">
        <f>IFERROR(__xludf.DUMMYFUNCTION("""COMPUTED_VALUE"""),"A008 Submitted - Waiting on Others")</f>
        <v>A008 Submitted - Waiting on Others</v>
      </c>
      <c r="D109" s="4">
        <f>IFERROR(__xludf.DUMMYFUNCTION("""COMPUTED_VALUE"""),1110581.0)</f>
        <v>1110581</v>
      </c>
      <c r="E109" s="5" t="s">
        <v>20</v>
      </c>
      <c r="J109" s="2" t="s">
        <v>21</v>
      </c>
      <c r="K109" s="2" t="s">
        <v>35</v>
      </c>
      <c r="L109" s="2" t="s">
        <v>26</v>
      </c>
      <c r="M109" s="5" t="s">
        <v>24</v>
      </c>
      <c r="N109" s="5" t="s">
        <v>44</v>
      </c>
      <c r="O109" s="5" t="s">
        <v>48</v>
      </c>
      <c r="S109" s="6"/>
      <c r="T109" s="6"/>
      <c r="U109" s="6"/>
      <c r="V109" s="6"/>
      <c r="W109" s="6"/>
      <c r="X109" s="6"/>
    </row>
    <row r="110">
      <c r="A110" s="1" t="str">
        <f>IFERROR(__xludf.DUMMYFUNCTION("""COMPUTED_VALUE"""),"2505-454")</f>
        <v>2505-454</v>
      </c>
      <c r="B110" s="1" t="str">
        <f>IFERROR(__xludf.DUMMYFUNCTION("""COMPUTED_VALUE"""),"Austin-San-Clemente-GADU")</f>
        <v>Austin-San-Clemente-GADU</v>
      </c>
      <c r="C110" s="1" t="str">
        <f>IFERROR(__xludf.DUMMYFUNCTION("""COMPUTED_VALUE"""),"Approved - Construction Phase")</f>
        <v>Approved - Construction Phase</v>
      </c>
      <c r="D110" s="4">
        <f>IFERROR(__xludf.DUMMYFUNCTION("""COMPUTED_VALUE"""),1110544.0)</f>
        <v>1110544</v>
      </c>
      <c r="E110" s="5" t="s">
        <v>20</v>
      </c>
      <c r="J110" s="2" t="s">
        <v>40</v>
      </c>
      <c r="K110" s="2" t="s">
        <v>51</v>
      </c>
      <c r="L110" s="2" t="s">
        <v>33</v>
      </c>
      <c r="M110" s="5" t="s">
        <v>44</v>
      </c>
      <c r="N110" s="5" t="s">
        <v>44</v>
      </c>
      <c r="O110" s="5" t="s">
        <v>27</v>
      </c>
      <c r="S110" s="6"/>
      <c r="T110" s="6"/>
      <c r="U110" s="6"/>
      <c r="V110" s="6"/>
      <c r="W110" s="6"/>
      <c r="X110" s="6"/>
    </row>
    <row r="111">
      <c r="A111" s="1" t="str">
        <f>IFERROR(__xludf.DUMMYFUNCTION("""COMPUTED_VALUE"""),"2505-453")</f>
        <v>2505-453</v>
      </c>
      <c r="B111" s="1" t="str">
        <f>IFERROR(__xludf.DUMMYFUNCTION("""COMPUTED_VALUE"""),"LPS-Kaye-LA-ADU")</f>
        <v>LPS-Kaye-LA-ADU</v>
      </c>
      <c r="C111" s="1" t="str">
        <f>IFERROR(__xludf.DUMMYFUNCTION("""COMPUTED_VALUE"""),"Approved - Construction Phase")</f>
        <v>Approved - Construction Phase</v>
      </c>
      <c r="D111" s="4">
        <f>IFERROR(__xludf.DUMMYFUNCTION("""COMPUTED_VALUE"""),1110336.0)</f>
        <v>1110336</v>
      </c>
      <c r="E111" s="5" t="s">
        <v>20</v>
      </c>
      <c r="J111" s="2" t="s">
        <v>43</v>
      </c>
      <c r="K111" s="2" t="s">
        <v>47</v>
      </c>
      <c r="L111" s="2" t="s">
        <v>36</v>
      </c>
      <c r="M111" s="5" t="s">
        <v>44</v>
      </c>
      <c r="N111" s="5" t="s">
        <v>44</v>
      </c>
      <c r="O111" s="5" t="s">
        <v>24</v>
      </c>
      <c r="S111" s="6"/>
      <c r="T111" s="6"/>
      <c r="U111" s="6"/>
      <c r="V111" s="6"/>
      <c r="W111" s="6"/>
      <c r="X111" s="6"/>
    </row>
    <row r="112">
      <c r="A112" s="1" t="str">
        <f>IFERROR(__xludf.DUMMYFUNCTION("""COMPUTED_VALUE"""),"2505-452")</f>
        <v>2505-452</v>
      </c>
      <c r="B112" s="1" t="str">
        <f>IFERROR(__xludf.DUMMYFUNCTION("""COMPUTED_VALUE"""),"Claude-Santa-Clarita-Remodel")</f>
        <v>Claude-Santa-Clarita-Remodel</v>
      </c>
      <c r="C112" s="1" t="str">
        <f>IFERROR(__xludf.DUMMYFUNCTION("""COMPUTED_VALUE"""),"Abandoned,Expired")</f>
        <v>Abandoned,Expired</v>
      </c>
      <c r="D112" s="4">
        <f>IFERROR(__xludf.DUMMYFUNCTION("""COMPUTED_VALUE"""),1108038.0)</f>
        <v>1108038</v>
      </c>
      <c r="E112" s="5" t="s">
        <v>34</v>
      </c>
      <c r="J112" s="2" t="s">
        <v>25</v>
      </c>
      <c r="K112" s="2" t="s">
        <v>22</v>
      </c>
      <c r="L112" s="2" t="s">
        <v>21</v>
      </c>
      <c r="M112" s="5" t="s">
        <v>44</v>
      </c>
      <c r="N112" s="2" t="s">
        <v>37</v>
      </c>
      <c r="O112" s="5" t="s">
        <v>48</v>
      </c>
      <c r="S112" s="6"/>
      <c r="T112" s="3">
        <v>46006.39042229167</v>
      </c>
      <c r="U112" s="6"/>
      <c r="V112" s="6"/>
      <c r="W112" s="6"/>
      <c r="X112" s="6"/>
    </row>
    <row r="113">
      <c r="A113" s="1" t="str">
        <f>IFERROR(__xludf.DUMMYFUNCTION("""COMPUTED_VALUE"""),"2505-451")</f>
        <v>2505-451</v>
      </c>
      <c r="B113" s="1" t="str">
        <f>IFERROR(__xludf.DUMMYFUNCTION("""COMPUTED_VALUE"""),"Ramos-Aguanga-Patio-Enclosure-Plans")</f>
        <v>Ramos-Aguanga-Patio-Enclosure-Plans</v>
      </c>
      <c r="C113" s="1" t="str">
        <f>IFERROR(__xludf.DUMMYFUNCTION("""COMPUTED_VALUE"""),"A008.2 Architectural Comment Responses")</f>
        <v>A008.2 Architectural Comment Responses</v>
      </c>
      <c r="D113" s="4">
        <f>IFERROR(__xludf.DUMMYFUNCTION("""COMPUTED_VALUE"""),1106142.0)</f>
        <v>1106142</v>
      </c>
      <c r="E113" s="5" t="s">
        <v>20</v>
      </c>
      <c r="J113" s="2" t="s">
        <v>40</v>
      </c>
      <c r="K113" s="2" t="s">
        <v>22</v>
      </c>
      <c r="L113" s="2" t="s">
        <v>47</v>
      </c>
      <c r="M113" s="5" t="s">
        <v>24</v>
      </c>
      <c r="N113" s="5" t="s">
        <v>48</v>
      </c>
      <c r="O113" s="5" t="s">
        <v>24</v>
      </c>
      <c r="S113" s="6"/>
      <c r="T113" s="6"/>
      <c r="U113" s="6"/>
      <c r="V113" s="6"/>
      <c r="W113" s="6"/>
      <c r="X113" s="6"/>
    </row>
    <row r="114">
      <c r="A114" s="1" t="str">
        <f>IFERROR(__xludf.DUMMYFUNCTION("""COMPUTED_VALUE"""),"2505-450")</f>
        <v>2505-450</v>
      </c>
      <c r="B114" s="1" t="str">
        <f>IFERROR(__xludf.DUMMYFUNCTION("""COMPUTED_VALUE"""),"Haberkern-Joshua-Tree-New-Cabin")</f>
        <v>Haberkern-Joshua-Tree-New-Cabin</v>
      </c>
      <c r="C114" s="1" t="str">
        <f>IFERROR(__xludf.DUMMYFUNCTION("""COMPUTED_VALUE"""),"A008 Submitted - Waiting on Others")</f>
        <v>A008 Submitted - Waiting on Others</v>
      </c>
      <c r="D114" s="4">
        <f>IFERROR(__xludf.DUMMYFUNCTION("""COMPUTED_VALUE"""),1103488.0)</f>
        <v>1103488</v>
      </c>
      <c r="E114" s="5" t="s">
        <v>34</v>
      </c>
      <c r="J114" s="2" t="s">
        <v>32</v>
      </c>
      <c r="K114" s="2" t="s">
        <v>22</v>
      </c>
      <c r="L114" s="2" t="s">
        <v>49</v>
      </c>
      <c r="M114" s="5" t="s">
        <v>48</v>
      </c>
      <c r="N114" s="5" t="s">
        <v>37</v>
      </c>
      <c r="O114" s="5" t="s">
        <v>27</v>
      </c>
      <c r="S114" s="6"/>
      <c r="T114" s="6"/>
      <c r="U114" s="6"/>
      <c r="V114" s="6"/>
      <c r="W114" s="6"/>
      <c r="X114" s="6"/>
    </row>
    <row r="115">
      <c r="A115" s="1" t="str">
        <f>IFERROR(__xludf.DUMMYFUNCTION("""COMPUTED_VALUE"""),"2505-448")</f>
        <v>2505-448</v>
      </c>
      <c r="B115" s="1" t="str">
        <f>IFERROR(__xludf.DUMMYFUNCTION("""COMPUTED_VALUE"""),"Bonasera-Coronado-Blanca-Structural")</f>
        <v>Bonasera-Coronado-Blanca-Structural</v>
      </c>
      <c r="C115" s="1" t="str">
        <f>IFERROR(__xludf.DUMMYFUNCTION("""COMPUTED_VALUE"""),"A008.6 Arch Packaging Re-Submittal")</f>
        <v>A008.6 Arch Packaging Re-Submittal</v>
      </c>
      <c r="D115" s="4">
        <f>IFERROR(__xludf.DUMMYFUNCTION("""COMPUTED_VALUE"""),1100842.0)</f>
        <v>1100842</v>
      </c>
      <c r="E115" s="5" t="s">
        <v>20</v>
      </c>
      <c r="J115" s="2" t="s">
        <v>21</v>
      </c>
      <c r="K115" s="2" t="s">
        <v>39</v>
      </c>
      <c r="L115" s="2" t="s">
        <v>26</v>
      </c>
      <c r="M115" s="5" t="s">
        <v>27</v>
      </c>
      <c r="N115" s="5" t="s">
        <v>48</v>
      </c>
      <c r="O115" s="5" t="s">
        <v>44</v>
      </c>
      <c r="S115" s="6"/>
      <c r="T115" s="3">
        <v>46005.25651501157</v>
      </c>
      <c r="U115" s="6"/>
      <c r="V115" s="6"/>
      <c r="W115" s="6"/>
      <c r="X115" s="6"/>
    </row>
    <row r="116">
      <c r="A116" s="1" t="str">
        <f>IFERROR(__xludf.DUMMYFUNCTION("""COMPUTED_VALUE"""),"2505-447")</f>
        <v>2505-447</v>
      </c>
      <c r="B116" s="1" t="str">
        <f>IFERROR(__xludf.DUMMYFUNCTION("""COMPUTED_VALUE"""),"Bonasera-Coronado-Feliz-Structural-Only")</f>
        <v>Bonasera-Coronado-Feliz-Structural-Only</v>
      </c>
      <c r="C116" s="1" t="str">
        <f>IFERROR(__xludf.DUMMYFUNCTION("""COMPUTED_VALUE"""),"A008.5 Structural Engineering Corrections")</f>
        <v>A008.5 Structural Engineering Corrections</v>
      </c>
      <c r="D116" s="4">
        <f>IFERROR(__xludf.DUMMYFUNCTION("""COMPUTED_VALUE"""),1098098.0)</f>
        <v>1098098</v>
      </c>
      <c r="E116" s="5" t="s">
        <v>20</v>
      </c>
      <c r="J116" s="2" t="s">
        <v>35</v>
      </c>
      <c r="K116" s="2" t="s">
        <v>43</v>
      </c>
      <c r="L116" s="2" t="s">
        <v>35</v>
      </c>
      <c r="M116" s="5" t="s">
        <v>48</v>
      </c>
      <c r="N116" s="5" t="s">
        <v>37</v>
      </c>
      <c r="O116" s="5" t="s">
        <v>37</v>
      </c>
      <c r="S116" s="6"/>
      <c r="T116" s="3">
        <v>46005.22552476852</v>
      </c>
      <c r="U116" s="6"/>
      <c r="V116" s="6"/>
      <c r="W116" s="6"/>
      <c r="X116" s="6"/>
    </row>
    <row r="117">
      <c r="A117" s="1" t="str">
        <f>IFERROR(__xludf.DUMMYFUNCTION("""COMPUTED_VALUE"""),"2505-446")</f>
        <v>2505-446</v>
      </c>
      <c r="B117" s="1" t="str">
        <f>IFERROR(__xludf.DUMMYFUNCTION("""COMPUTED_VALUE"""),"Yang-La-Habra-Boba-Shop-Plans")</f>
        <v>Yang-La-Habra-Boba-Shop-Plans</v>
      </c>
      <c r="C117" s="1" t="str">
        <f>IFERROR(__xludf.DUMMYFUNCTION("""COMPUTED_VALUE"""),"Abandoned,Expired")</f>
        <v>Abandoned,Expired</v>
      </c>
      <c r="D117" s="4">
        <f>IFERROR(__xludf.DUMMYFUNCTION("""COMPUTED_VALUE"""),1095065.0)</f>
        <v>1095065</v>
      </c>
      <c r="E117" s="5" t="s">
        <v>20</v>
      </c>
      <c r="J117" s="2" t="s">
        <v>49</v>
      </c>
      <c r="K117" s="2" t="s">
        <v>23</v>
      </c>
      <c r="L117" s="2" t="s">
        <v>21</v>
      </c>
      <c r="M117" s="5" t="s">
        <v>37</v>
      </c>
      <c r="N117" s="5" t="s">
        <v>44</v>
      </c>
      <c r="O117" s="5" t="s">
        <v>37</v>
      </c>
      <c r="S117" s="6"/>
      <c r="T117" s="6"/>
      <c r="U117" s="6"/>
      <c r="V117" s="6"/>
      <c r="W117" s="6"/>
      <c r="X117" s="6"/>
    </row>
    <row r="118">
      <c r="A118" s="1" t="str">
        <f>IFERROR(__xludf.DUMMYFUNCTION("""COMPUTED_VALUE"""),"2505-445")</f>
        <v>2505-445</v>
      </c>
      <c r="B118" s="1" t="str">
        <f>IFERROR(__xludf.DUMMYFUNCTION("""COMPUTED_VALUE"""),"Quan-Altadena-Fire-Rebuild")</f>
        <v>Quan-Altadena-Fire-Rebuild</v>
      </c>
      <c r="C118" s="1" t="str">
        <f>IFERROR(__xludf.DUMMYFUNCTION("""COMPUTED_VALUE"""),"Abandoned,Expired")</f>
        <v>Abandoned,Expired</v>
      </c>
      <c r="D118" s="4">
        <f>IFERROR(__xludf.DUMMYFUNCTION("""COMPUTED_VALUE"""),1093998.0)</f>
        <v>1093998</v>
      </c>
      <c r="E118" s="5" t="s">
        <v>20</v>
      </c>
      <c r="J118" s="2" t="s">
        <v>32</v>
      </c>
      <c r="K118" s="2" t="s">
        <v>49</v>
      </c>
      <c r="L118" s="2" t="s">
        <v>32</v>
      </c>
      <c r="M118" s="5" t="s">
        <v>44</v>
      </c>
      <c r="N118" s="5" t="s">
        <v>44</v>
      </c>
      <c r="O118" s="5" t="s">
        <v>24</v>
      </c>
      <c r="S118" s="6"/>
      <c r="T118" s="6"/>
      <c r="U118" s="6"/>
      <c r="V118" s="6"/>
      <c r="W118" s="6"/>
      <c r="X118" s="6"/>
    </row>
    <row r="119">
      <c r="A119" s="1" t="str">
        <f>IFERROR(__xludf.DUMMYFUNCTION("""COMPUTED_VALUE"""),"2504-444")</f>
        <v>2504-444</v>
      </c>
      <c r="B119" s="1" t="str">
        <f>IFERROR(__xludf.DUMMYFUNCTION("""COMPUTED_VALUE"""),"TRC-Barnes-Altadena-Fire-Rebuild")</f>
        <v>TRC-Barnes-Altadena-Fire-Rebuild</v>
      </c>
      <c r="C119" s="1" t="str">
        <f>IFERROR(__xludf.DUMMYFUNCTION("""COMPUTED_VALUE"""),"A005.9 - Submitted to Planning")</f>
        <v>A005.9 - Submitted to Planning</v>
      </c>
      <c r="D119" s="4">
        <f>IFERROR(__xludf.DUMMYFUNCTION("""COMPUTED_VALUE"""),1093968.0)</f>
        <v>1093968</v>
      </c>
      <c r="E119" s="5" t="s">
        <v>20</v>
      </c>
      <c r="J119" s="2" t="s">
        <v>43</v>
      </c>
      <c r="K119" s="2" t="s">
        <v>50</v>
      </c>
      <c r="L119" s="2" t="s">
        <v>32</v>
      </c>
      <c r="M119" s="5" t="s">
        <v>24</v>
      </c>
      <c r="N119" s="5" t="s">
        <v>44</v>
      </c>
      <c r="O119" s="5" t="s">
        <v>48</v>
      </c>
      <c r="S119" s="6"/>
      <c r="T119" s="6"/>
      <c r="U119" s="6"/>
      <c r="V119" s="6"/>
      <c r="W119" s="6"/>
      <c r="X119" s="6"/>
    </row>
    <row r="120">
      <c r="A120" s="1" t="str">
        <f>IFERROR(__xludf.DUMMYFUNCTION("""COMPUTED_VALUE"""),"2504-443")</f>
        <v>2504-443</v>
      </c>
      <c r="B120" s="1" t="str">
        <f>IFERROR(__xludf.DUMMYFUNCTION("""COMPUTED_VALUE"""),"Cruz-SD-Site-Egress-Plans")</f>
        <v>Cruz-SD-Site-Egress-Plans</v>
      </c>
      <c r="C120" s="1" t="str">
        <f>IFERROR(__xludf.DUMMYFUNCTION("""COMPUTED_VALUE"""),"Abandoned,Expired")</f>
        <v>Abandoned,Expired</v>
      </c>
      <c r="D120" s="4">
        <f>IFERROR(__xludf.DUMMYFUNCTION("""COMPUTED_VALUE"""),1093905.0)</f>
        <v>1093905</v>
      </c>
      <c r="E120" s="5" t="s">
        <v>34</v>
      </c>
      <c r="J120" s="2" t="s">
        <v>43</v>
      </c>
      <c r="K120" s="2" t="s">
        <v>26</v>
      </c>
      <c r="L120" s="2" t="s">
        <v>43</v>
      </c>
      <c r="M120" s="5" t="s">
        <v>24</v>
      </c>
      <c r="N120" s="5" t="s">
        <v>48</v>
      </c>
      <c r="O120" s="5" t="s">
        <v>24</v>
      </c>
      <c r="S120" s="6"/>
      <c r="T120" s="6"/>
      <c r="U120" s="6"/>
      <c r="V120" s="6"/>
      <c r="W120" s="6"/>
      <c r="X120" s="6"/>
    </row>
    <row r="121">
      <c r="A121" s="1" t="str">
        <f>IFERROR(__xludf.DUMMYFUNCTION("""COMPUTED_VALUE"""),"2504-442")</f>
        <v>2504-442</v>
      </c>
      <c r="B121" s="1" t="str">
        <f>IFERROR(__xludf.DUMMYFUNCTION("""COMPUTED_VALUE"""),"Deni-Palisades-Fire-Rebuild")</f>
        <v>Deni-Palisades-Fire-Rebuild</v>
      </c>
      <c r="C121" s="1" t="str">
        <f>IFERROR(__xludf.DUMMYFUNCTION("""COMPUTED_VALUE"""),"A008 Submitted - Waiting on Others")</f>
        <v>A008 Submitted - Waiting on Others</v>
      </c>
      <c r="D121" s="4">
        <f>IFERROR(__xludf.DUMMYFUNCTION("""COMPUTED_VALUE"""),1092506.0)</f>
        <v>1092506</v>
      </c>
      <c r="E121" s="5" t="s">
        <v>20</v>
      </c>
      <c r="J121" s="2" t="s">
        <v>26</v>
      </c>
      <c r="K121" s="2" t="s">
        <v>36</v>
      </c>
      <c r="L121" s="2" t="s">
        <v>25</v>
      </c>
      <c r="M121" s="5" t="s">
        <v>37</v>
      </c>
      <c r="N121" s="5" t="s">
        <v>44</v>
      </c>
      <c r="O121" s="5" t="s">
        <v>27</v>
      </c>
      <c r="S121" s="6"/>
      <c r="T121" s="6"/>
      <c r="U121" s="6"/>
      <c r="V121" s="6"/>
      <c r="W121" s="6"/>
      <c r="X121" s="6"/>
    </row>
    <row r="122">
      <c r="A122" s="1" t="str">
        <f>IFERROR(__xludf.DUMMYFUNCTION("""COMPUTED_VALUE"""),"2504-441")</f>
        <v>2504-441</v>
      </c>
      <c r="B122" s="1" t="str">
        <f>IFERROR(__xludf.DUMMYFUNCTION("""COMPUTED_VALUE"""),"Yarash-SD-Duplex-Expedited")</f>
        <v>Yarash-SD-Duplex-Expedited</v>
      </c>
      <c r="C122" s="1" t="str">
        <f>IFERROR(__xludf.DUMMYFUNCTION("""COMPUTED_VALUE"""),"A008.2 Architectural Comment Responses")</f>
        <v>A008.2 Architectural Comment Responses</v>
      </c>
      <c r="D122" s="4">
        <f>IFERROR(__xludf.DUMMYFUNCTION("""COMPUTED_VALUE"""),1092434.0)</f>
        <v>1092434</v>
      </c>
      <c r="E122" s="5" t="s">
        <v>34</v>
      </c>
      <c r="J122" s="2" t="s">
        <v>36</v>
      </c>
      <c r="K122" s="2" t="s">
        <v>25</v>
      </c>
      <c r="L122" s="2" t="s">
        <v>50</v>
      </c>
      <c r="M122" s="5" t="s">
        <v>44</v>
      </c>
      <c r="N122" s="5" t="s">
        <v>48</v>
      </c>
      <c r="O122" s="5" t="s">
        <v>44</v>
      </c>
      <c r="S122" s="6"/>
      <c r="T122" s="6"/>
      <c r="U122" s="6"/>
      <c r="V122" s="6"/>
      <c r="W122" s="6"/>
      <c r="X122" s="6"/>
    </row>
    <row r="123">
      <c r="A123" s="1" t="str">
        <f>IFERROR(__xludf.DUMMYFUNCTION("""COMPUTED_VALUE"""),"2504-440")</f>
        <v>2504-440</v>
      </c>
      <c r="B123" s="1" t="str">
        <f>IFERROR(__xludf.DUMMYFUNCTION("""COMPUTED_VALUE"""),"Haggar-El-Cajon-Patio-and-ADU-Permitting")</f>
        <v>Haggar-El-Cajon-Patio-and-ADU-Permitting</v>
      </c>
      <c r="C123" s="1" t="str">
        <f>IFERROR(__xludf.DUMMYFUNCTION("""COMPUTED_VALUE"""),"Approved - Construction Phase")</f>
        <v>Approved - Construction Phase</v>
      </c>
      <c r="D123" s="4">
        <f>IFERROR(__xludf.DUMMYFUNCTION("""COMPUTED_VALUE"""),1089977.0)</f>
        <v>1089977</v>
      </c>
      <c r="E123" s="5" t="s">
        <v>34</v>
      </c>
      <c r="J123" s="2" t="s">
        <v>21</v>
      </c>
      <c r="K123" s="2" t="s">
        <v>25</v>
      </c>
      <c r="L123" s="2" t="s">
        <v>39</v>
      </c>
      <c r="M123" s="5" t="s">
        <v>37</v>
      </c>
      <c r="N123" s="5" t="s">
        <v>48</v>
      </c>
      <c r="O123" s="5" t="s">
        <v>37</v>
      </c>
      <c r="S123" s="6"/>
      <c r="T123" s="6"/>
      <c r="U123" s="6"/>
      <c r="V123" s="6"/>
      <c r="W123" s="6"/>
      <c r="X123" s="6"/>
    </row>
    <row r="124">
      <c r="A124" s="1" t="str">
        <f>IFERROR(__xludf.DUMMYFUNCTION("""COMPUTED_VALUE"""),"2504-439")</f>
        <v>2504-439</v>
      </c>
      <c r="B124" s="1" t="str">
        <f>IFERROR(__xludf.DUMMYFUNCTION("""COMPUTED_VALUE"""),"Garcia-San-Dimas-Structural-Designs")</f>
        <v>Garcia-San-Dimas-Structural-Designs</v>
      </c>
      <c r="C124" s="1" t="str">
        <f>IFERROR(__xludf.DUMMYFUNCTION("""COMPUTED_VALUE"""),"Completed - Sent to Client")</f>
        <v>Completed - Sent to Client</v>
      </c>
      <c r="D124" s="4">
        <f>IFERROR(__xludf.DUMMYFUNCTION("""COMPUTED_VALUE"""),1089575.0)</f>
        <v>1089575</v>
      </c>
      <c r="E124" s="5" t="s">
        <v>20</v>
      </c>
      <c r="J124" s="2" t="s">
        <v>40</v>
      </c>
      <c r="K124" s="2" t="s">
        <v>47</v>
      </c>
      <c r="L124" s="2" t="s">
        <v>26</v>
      </c>
      <c r="M124" s="5" t="s">
        <v>27</v>
      </c>
      <c r="N124" s="5" t="s">
        <v>37</v>
      </c>
      <c r="O124" s="5" t="s">
        <v>24</v>
      </c>
      <c r="S124" s="6"/>
      <c r="T124" s="6"/>
      <c r="U124" s="6"/>
      <c r="V124" s="6"/>
      <c r="W124" s="6"/>
      <c r="X124" s="6"/>
    </row>
    <row r="125">
      <c r="A125" s="1" t="str">
        <f>IFERROR(__xludf.DUMMYFUNCTION("""COMPUTED_VALUE"""),"2504-438")</f>
        <v>2504-438</v>
      </c>
      <c r="B125" s="1" t="str">
        <f>IFERROR(__xludf.DUMMYFUNCTION("""COMPUTED_VALUE"""),"Campbell-LA-Shed-Plans")</f>
        <v>Campbell-LA-Shed-Plans</v>
      </c>
      <c r="C125" s="1" t="str">
        <f>IFERROR(__xludf.DUMMYFUNCTION("""COMPUTED_VALUE"""),"A009 Resubmitted")</f>
        <v>A009 Resubmitted</v>
      </c>
      <c r="D125" s="4">
        <f>IFERROR(__xludf.DUMMYFUNCTION("""COMPUTED_VALUE"""),1089344.0)</f>
        <v>1089344</v>
      </c>
      <c r="E125" s="5" t="s">
        <v>20</v>
      </c>
      <c r="J125" s="2" t="s">
        <v>49</v>
      </c>
      <c r="K125" s="2" t="s">
        <v>22</v>
      </c>
      <c r="L125" s="2" t="s">
        <v>49</v>
      </c>
      <c r="M125" s="5" t="s">
        <v>37</v>
      </c>
      <c r="N125" s="2" t="s">
        <v>24</v>
      </c>
      <c r="O125" s="5" t="s">
        <v>44</v>
      </c>
      <c r="S125" s="6"/>
      <c r="T125" s="3">
        <v>46007.012527962965</v>
      </c>
      <c r="U125" s="6"/>
      <c r="V125" s="6"/>
      <c r="W125" s="6"/>
      <c r="X125" s="6"/>
    </row>
    <row r="126">
      <c r="A126" s="1" t="str">
        <f>IFERROR(__xludf.DUMMYFUNCTION("""COMPUTED_VALUE"""),"2504-437")</f>
        <v>2504-437</v>
      </c>
      <c r="B126" s="1" t="str">
        <f>IFERROR(__xludf.DUMMYFUNCTION("""COMPUTED_VALUE"""),"Lartelier-LA-3-ADUs")</f>
        <v>Lartelier-LA-3-ADUs</v>
      </c>
      <c r="C126" s="1" t="str">
        <f>IFERROR(__xludf.DUMMYFUNCTION("""COMPUTED_VALUE"""),"Completed - Sent to Client")</f>
        <v>Completed - Sent to Client</v>
      </c>
      <c r="D126" s="4">
        <f>IFERROR(__xludf.DUMMYFUNCTION("""COMPUTED_VALUE"""),1086475.0)</f>
        <v>1086475</v>
      </c>
      <c r="E126" s="5" t="s">
        <v>34</v>
      </c>
      <c r="J126" s="2" t="s">
        <v>23</v>
      </c>
      <c r="K126" s="2" t="s">
        <v>22</v>
      </c>
      <c r="L126" s="2" t="s">
        <v>33</v>
      </c>
      <c r="M126" s="5" t="s">
        <v>48</v>
      </c>
      <c r="N126" s="2" t="s">
        <v>24</v>
      </c>
      <c r="O126" s="5" t="s">
        <v>48</v>
      </c>
      <c r="S126" s="6"/>
      <c r="T126" s="3">
        <v>46007.01259762731</v>
      </c>
      <c r="U126" s="6"/>
      <c r="V126" s="6"/>
      <c r="W126" s="6"/>
      <c r="X126" s="6"/>
    </row>
    <row r="127">
      <c r="A127" s="1" t="str">
        <f>IFERROR(__xludf.DUMMYFUNCTION("""COMPUTED_VALUE"""),"2504-436")</f>
        <v>2504-436</v>
      </c>
      <c r="B127" s="1" t="str">
        <f>IFERROR(__xludf.DUMMYFUNCTION("""COMPUTED_VALUE"""),"Castillo-Redlands-Detached-Cabin")</f>
        <v>Castillo-Redlands-Detached-Cabin</v>
      </c>
      <c r="C127" s="1" t="str">
        <f>IFERROR(__xludf.DUMMYFUNCTION("""COMPUTED_VALUE"""),"A008.2 Architectural Comment Responses")</f>
        <v>A008.2 Architectural Comment Responses</v>
      </c>
      <c r="D127" s="4">
        <f>IFERROR(__xludf.DUMMYFUNCTION("""COMPUTED_VALUE"""),1086402.0)</f>
        <v>1086402</v>
      </c>
      <c r="E127" s="5" t="s">
        <v>34</v>
      </c>
      <c r="J127" s="2" t="s">
        <v>26</v>
      </c>
      <c r="K127" s="2" t="s">
        <v>43</v>
      </c>
      <c r="L127" s="2" t="s">
        <v>21</v>
      </c>
      <c r="M127" s="5" t="s">
        <v>37</v>
      </c>
      <c r="N127" s="5" t="s">
        <v>37</v>
      </c>
      <c r="O127" s="5" t="s">
        <v>48</v>
      </c>
      <c r="S127" s="6"/>
      <c r="T127" s="6"/>
      <c r="U127" s="6"/>
      <c r="V127" s="6"/>
      <c r="W127" s="6"/>
      <c r="X127" s="6"/>
    </row>
    <row r="128">
      <c r="A128" s="1" t="str">
        <f>IFERROR(__xludf.DUMMYFUNCTION("""COMPUTED_VALUE"""),"2504-435")</f>
        <v>2504-435</v>
      </c>
      <c r="B128" s="1" t="str">
        <f>IFERROR(__xludf.DUMMYFUNCTION("""COMPUTED_VALUE"""),"Shin-Santa-Clarita-ADU")</f>
        <v>Shin-Santa-Clarita-ADU</v>
      </c>
      <c r="C128" s="1" t="str">
        <f>IFERROR(__xludf.DUMMYFUNCTION("""COMPUTED_VALUE"""),"A009 Resubmitted")</f>
        <v>A009 Resubmitted</v>
      </c>
      <c r="D128" s="4">
        <f>IFERROR(__xludf.DUMMYFUNCTION("""COMPUTED_VALUE"""),1085090.0)</f>
        <v>1085090</v>
      </c>
      <c r="E128" s="5" t="s">
        <v>34</v>
      </c>
      <c r="J128" s="2" t="s">
        <v>36</v>
      </c>
      <c r="K128" s="2" t="s">
        <v>23</v>
      </c>
      <c r="L128" s="2" t="s">
        <v>49</v>
      </c>
      <c r="M128" s="5" t="s">
        <v>27</v>
      </c>
      <c r="N128" s="5" t="s">
        <v>37</v>
      </c>
      <c r="O128" s="5" t="s">
        <v>27</v>
      </c>
      <c r="S128" s="6"/>
      <c r="T128" s="6"/>
      <c r="U128" s="6"/>
      <c r="V128" s="6"/>
      <c r="W128" s="6"/>
      <c r="X128" s="6"/>
    </row>
    <row r="129">
      <c r="A129" s="1" t="str">
        <f>IFERROR(__xludf.DUMMYFUNCTION("""COMPUTED_VALUE"""),"2504-434")</f>
        <v>2504-434</v>
      </c>
      <c r="B129" s="1" t="str">
        <f>IFERROR(__xludf.DUMMYFUNCTION("""COMPUTED_VALUE"""),"Shepard-Simi-Addition")</f>
        <v>Shepard-Simi-Addition</v>
      </c>
      <c r="C129" s="1" t="str">
        <f>IFERROR(__xludf.DUMMYFUNCTION("""COMPUTED_VALUE"""),"A008.8 Pending Resubmittal")</f>
        <v>A008.8 Pending Resubmittal</v>
      </c>
      <c r="D129" s="4">
        <f>IFERROR(__xludf.DUMMYFUNCTION("""COMPUTED_VALUE"""),1084413.0)</f>
        <v>1084413</v>
      </c>
      <c r="E129" s="5" t="s">
        <v>34</v>
      </c>
      <c r="J129" s="2" t="s">
        <v>51</v>
      </c>
      <c r="K129" s="2" t="s">
        <v>40</v>
      </c>
      <c r="L129" s="2" t="s">
        <v>50</v>
      </c>
      <c r="M129" s="5" t="s">
        <v>37</v>
      </c>
      <c r="N129" s="5" t="s">
        <v>24</v>
      </c>
      <c r="O129" s="5" t="s">
        <v>37</v>
      </c>
      <c r="S129" s="6"/>
      <c r="T129" s="6"/>
      <c r="U129" s="6"/>
      <c r="V129" s="6"/>
      <c r="W129" s="6"/>
      <c r="X129" s="6"/>
    </row>
    <row r="130">
      <c r="A130" s="1" t="str">
        <f>IFERROR(__xludf.DUMMYFUNCTION("""COMPUTED_VALUE"""),"2504-433")</f>
        <v>2504-433</v>
      </c>
      <c r="B130" s="1" t="str">
        <f>IFERROR(__xludf.DUMMYFUNCTION("""COMPUTED_VALUE"""),"Eltaeb San Diego ADU")</f>
        <v>Eltaeb San Diego ADU</v>
      </c>
      <c r="C130" s="1" t="str">
        <f>IFERROR(__xludf.DUMMYFUNCTION("""COMPUTED_VALUE"""),"A005.9 - Submitted to Planning")</f>
        <v>A005.9 - Submitted to Planning</v>
      </c>
      <c r="D130" s="4">
        <f>IFERROR(__xludf.DUMMYFUNCTION("""COMPUTED_VALUE"""),1082719.0)</f>
        <v>1082719</v>
      </c>
      <c r="E130" s="5" t="s">
        <v>20</v>
      </c>
      <c r="J130" s="2" t="s">
        <v>42</v>
      </c>
      <c r="K130" s="2" t="s">
        <v>49</v>
      </c>
      <c r="L130" s="2" t="s">
        <v>49</v>
      </c>
      <c r="M130" s="5" t="s">
        <v>44</v>
      </c>
      <c r="N130" s="5" t="s">
        <v>44</v>
      </c>
      <c r="O130" s="5" t="s">
        <v>27</v>
      </c>
      <c r="S130" s="6"/>
      <c r="T130" s="6"/>
      <c r="U130" s="6"/>
      <c r="V130" s="6"/>
      <c r="W130" s="6"/>
      <c r="X130" s="6"/>
    </row>
    <row r="131">
      <c r="A131" s="1" t="str">
        <f>IFERROR(__xludf.DUMMYFUNCTION("""COMPUTED_VALUE"""),"2504-432")</f>
        <v>2504-432</v>
      </c>
      <c r="B131" s="1" t="str">
        <f>IFERROR(__xludf.DUMMYFUNCTION("""COMPUTED_VALUE"""),"Hirn San Jacinto Remodel Plans")</f>
        <v>Hirn San Jacinto Remodel Plans</v>
      </c>
      <c r="C131" s="1" t="str">
        <f>IFERROR(__xludf.DUMMYFUNCTION("""COMPUTED_VALUE"""),"Approved - Construction Phase")</f>
        <v>Approved - Construction Phase</v>
      </c>
      <c r="D131" s="4">
        <f>IFERROR(__xludf.DUMMYFUNCTION("""COMPUTED_VALUE"""),1079223.0)</f>
        <v>1079223</v>
      </c>
      <c r="E131" s="5" t="s">
        <v>34</v>
      </c>
      <c r="J131" s="2" t="s">
        <v>39</v>
      </c>
      <c r="K131" s="2" t="s">
        <v>26</v>
      </c>
      <c r="L131" s="2" t="s">
        <v>49</v>
      </c>
      <c r="M131" s="5" t="s">
        <v>44</v>
      </c>
      <c r="N131" s="5" t="s">
        <v>44</v>
      </c>
      <c r="O131" s="5" t="s">
        <v>37</v>
      </c>
      <c r="S131" s="6"/>
      <c r="T131" s="6"/>
      <c r="U131" s="6"/>
      <c r="V131" s="6"/>
      <c r="W131" s="6"/>
      <c r="X131" s="6"/>
    </row>
    <row r="132">
      <c r="A132" s="1" t="str">
        <f>IFERROR(__xludf.DUMMYFUNCTION("""COMPUTED_VALUE"""),"2504-431")</f>
        <v>2504-431</v>
      </c>
      <c r="B132" s="1" t="str">
        <f>IFERROR(__xludf.DUMMYFUNCTION("""COMPUTED_VALUE"""),"TRC-Mullaly-Altadena-Fire-Rebuild")</f>
        <v>TRC-Mullaly-Altadena-Fire-Rebuild</v>
      </c>
      <c r="C132" s="1" t="str">
        <f>IFERROR(__xludf.DUMMYFUNCTION("""COMPUTED_VALUE"""),"A006.5 - Structural Engineering")</f>
        <v>A006.5 - Structural Engineering</v>
      </c>
      <c r="D132" s="4">
        <f>IFERROR(__xludf.DUMMYFUNCTION("""COMPUTED_VALUE"""),1079087.0)</f>
        <v>1079087</v>
      </c>
      <c r="E132" s="5" t="s">
        <v>34</v>
      </c>
      <c r="F132" s="2"/>
      <c r="J132" s="2" t="s">
        <v>50</v>
      </c>
      <c r="K132" s="2" t="s">
        <v>39</v>
      </c>
      <c r="L132" s="2" t="s">
        <v>26</v>
      </c>
      <c r="M132" s="5" t="s">
        <v>24</v>
      </c>
      <c r="N132" s="5" t="s">
        <v>37</v>
      </c>
      <c r="O132" s="5" t="s">
        <v>27</v>
      </c>
      <c r="S132" s="3">
        <v>46006.24505783565</v>
      </c>
      <c r="T132" s="6"/>
      <c r="U132" s="6"/>
      <c r="V132" s="3">
        <v>46005.543547106485</v>
      </c>
      <c r="W132" s="3">
        <v>46005.54353141204</v>
      </c>
      <c r="X132" s="6"/>
    </row>
    <row r="133">
      <c r="A133" s="1" t="str">
        <f>IFERROR(__xludf.DUMMYFUNCTION("""COMPUTED_VALUE"""),"2504-430")</f>
        <v>2504-430</v>
      </c>
      <c r="B133" s="1" t="str">
        <f>IFERROR(__xludf.DUMMYFUNCTION("""COMPUTED_VALUE"""),"Makhyan-Burbank-ADU-Conversion")</f>
        <v>Makhyan-Burbank-ADU-Conversion</v>
      </c>
      <c r="C133" s="1" t="str">
        <f>IFERROR(__xludf.DUMMYFUNCTION("""COMPUTED_VALUE"""),"Approved - Construction Phase")</f>
        <v>Approved - Construction Phase</v>
      </c>
      <c r="D133" s="4">
        <f>IFERROR(__xludf.DUMMYFUNCTION("""COMPUTED_VALUE"""),1077271.0)</f>
        <v>1077271</v>
      </c>
      <c r="E133" s="5" t="s">
        <v>20</v>
      </c>
      <c r="J133" s="2" t="s">
        <v>23</v>
      </c>
      <c r="K133" s="2" t="s">
        <v>33</v>
      </c>
      <c r="L133" s="2" t="s">
        <v>25</v>
      </c>
      <c r="M133" s="5" t="s">
        <v>44</v>
      </c>
      <c r="N133" s="5" t="s">
        <v>27</v>
      </c>
      <c r="O133" s="5" t="s">
        <v>27</v>
      </c>
      <c r="S133" s="6"/>
      <c r="T133" s="6"/>
      <c r="U133" s="6"/>
      <c r="V133" s="6"/>
      <c r="W133" s="6"/>
      <c r="X133" s="6"/>
    </row>
    <row r="134">
      <c r="A134" s="1" t="str">
        <f>IFERROR(__xludf.DUMMYFUNCTION("""COMPUTED_VALUE"""),"2504-429")</f>
        <v>2504-429</v>
      </c>
      <c r="B134" s="1" t="str">
        <f>IFERROR(__xludf.DUMMYFUNCTION("""COMPUTED_VALUE"""),"Powell-SNF-Plans")</f>
        <v>Powell-SNF-Plans</v>
      </c>
      <c r="C134" s="1" t="str">
        <f>IFERROR(__xludf.DUMMYFUNCTION("""COMPUTED_VALUE"""),"Approved - Construction Phase")</f>
        <v>Approved - Construction Phase</v>
      </c>
      <c r="D134" s="4">
        <f>IFERROR(__xludf.DUMMYFUNCTION("""COMPUTED_VALUE"""),1076925.0)</f>
        <v>1076925</v>
      </c>
      <c r="E134" s="5" t="s">
        <v>34</v>
      </c>
      <c r="J134" s="2" t="s">
        <v>21</v>
      </c>
      <c r="K134" s="2" t="s">
        <v>40</v>
      </c>
      <c r="L134" s="2" t="s">
        <v>49</v>
      </c>
      <c r="M134" s="2" t="s">
        <v>24</v>
      </c>
      <c r="N134" s="5" t="s">
        <v>24</v>
      </c>
      <c r="O134" s="5" t="s">
        <v>44</v>
      </c>
      <c r="S134" s="3">
        <v>46007.00193586806</v>
      </c>
      <c r="T134" s="6"/>
      <c r="U134" s="6"/>
      <c r="V134" s="6"/>
      <c r="W134" s="6"/>
      <c r="X134" s="6"/>
    </row>
    <row r="135">
      <c r="A135" s="1" t="str">
        <f>IFERROR(__xludf.DUMMYFUNCTION("""COMPUTED_VALUE"""),"2504-428")</f>
        <v>2504-428</v>
      </c>
      <c r="B135" s="1" t="str">
        <f>IFERROR(__xludf.DUMMYFUNCTION("""COMPUTED_VALUE"""),"Rice-Campbell-RSF-Addition")</f>
        <v>Rice-Campbell-RSF-Addition</v>
      </c>
      <c r="C135" s="1" t="str">
        <f>IFERROR(__xludf.DUMMYFUNCTION("""COMPUTED_VALUE"""),"A008.6 Arch Packaging Re-Submittal")</f>
        <v>A008.6 Arch Packaging Re-Submittal</v>
      </c>
      <c r="D135" s="4">
        <f>IFERROR(__xludf.DUMMYFUNCTION("""COMPUTED_VALUE"""),1070661.0)</f>
        <v>1070661</v>
      </c>
      <c r="E135" s="5" t="s">
        <v>34</v>
      </c>
      <c r="F135" s="2"/>
      <c r="J135" s="2" t="s">
        <v>22</v>
      </c>
      <c r="K135" s="2" t="s">
        <v>25</v>
      </c>
      <c r="L135" s="2" t="s">
        <v>49</v>
      </c>
      <c r="M135" s="2" t="s">
        <v>24</v>
      </c>
      <c r="N135" s="5" t="s">
        <v>27</v>
      </c>
      <c r="O135" s="5" t="s">
        <v>44</v>
      </c>
      <c r="S135" s="3">
        <v>46006.38005078703</v>
      </c>
      <c r="T135" s="6"/>
      <c r="U135" s="6"/>
      <c r="V135" s="3">
        <v>46005.5440803588</v>
      </c>
      <c r="W135" s="3">
        <v>46005.55077883102</v>
      </c>
      <c r="X135" s="6"/>
    </row>
    <row r="136">
      <c r="A136" s="1" t="str">
        <f>IFERROR(__xludf.DUMMYFUNCTION("""COMPUTED_VALUE"""),"2504-426")</f>
        <v>2504-426</v>
      </c>
      <c r="B136" s="1" t="str">
        <f>IFERROR(__xludf.DUMMYFUNCTION("""COMPUTED_VALUE"""),"Agha Malibu Fire Rebuild")</f>
        <v>Agha Malibu Fire Rebuild</v>
      </c>
      <c r="C136" s="1" t="str">
        <f>IFERROR(__xludf.DUMMYFUNCTION("""COMPUTED_VALUE"""),"A008.2 Architectural Comment Responses")</f>
        <v>A008.2 Architectural Comment Responses</v>
      </c>
      <c r="D136" s="4">
        <f>IFERROR(__xludf.DUMMYFUNCTION("""COMPUTED_VALUE"""),1068261.0)</f>
        <v>1068261</v>
      </c>
      <c r="E136" s="5" t="s">
        <v>20</v>
      </c>
      <c r="J136" s="2" t="s">
        <v>26</v>
      </c>
      <c r="K136" s="2" t="s">
        <v>23</v>
      </c>
      <c r="L136" s="2" t="s">
        <v>51</v>
      </c>
      <c r="M136" s="5" t="s">
        <v>48</v>
      </c>
      <c r="N136" s="5" t="s">
        <v>37</v>
      </c>
      <c r="O136" s="5" t="s">
        <v>48</v>
      </c>
      <c r="S136" s="6"/>
      <c r="T136" s="6"/>
      <c r="U136" s="6"/>
      <c r="V136" s="6"/>
      <c r="W136" s="6"/>
      <c r="X136" s="6"/>
    </row>
    <row r="137">
      <c r="A137" s="1" t="str">
        <f>IFERROR(__xludf.DUMMYFUNCTION("""COMPUTED_VALUE"""),"2503-425")</f>
        <v>2503-425</v>
      </c>
      <c r="B137" s="1" t="str">
        <f>IFERROR(__xludf.DUMMYFUNCTION("""COMPUTED_VALUE"""),"Foster-San-Diego-ADU")</f>
        <v>Foster-San-Diego-ADU</v>
      </c>
      <c r="C137" s="1" t="str">
        <f>IFERROR(__xludf.DUMMYFUNCTION("""COMPUTED_VALUE"""),"A009 Resubmitted")</f>
        <v>A009 Resubmitted</v>
      </c>
      <c r="D137" s="4">
        <f>IFERROR(__xludf.DUMMYFUNCTION("""COMPUTED_VALUE"""),1063245.0)</f>
        <v>1063245</v>
      </c>
      <c r="E137" s="5" t="s">
        <v>20</v>
      </c>
      <c r="F137" s="2"/>
      <c r="J137" s="2" t="s">
        <v>47</v>
      </c>
      <c r="K137" s="2" t="s">
        <v>22</v>
      </c>
      <c r="L137" s="2" t="s">
        <v>26</v>
      </c>
      <c r="M137" s="5" t="s">
        <v>48</v>
      </c>
      <c r="N137" s="5" t="s">
        <v>24</v>
      </c>
      <c r="O137" s="5" t="s">
        <v>44</v>
      </c>
      <c r="S137" s="3">
        <v>46006.02051770833</v>
      </c>
      <c r="T137" s="6"/>
      <c r="U137" s="6"/>
      <c r="V137" s="3">
        <v>46005.54099833334</v>
      </c>
      <c r="W137" s="3">
        <v>46005.54109229166</v>
      </c>
      <c r="X137" s="6"/>
    </row>
    <row r="138">
      <c r="A138" s="1" t="str">
        <f>IFERROR(__xludf.DUMMYFUNCTION("""COMPUTED_VALUE"""),"2503-424")</f>
        <v>2503-424</v>
      </c>
      <c r="B138" s="1" t="str">
        <f>IFERROR(__xludf.DUMMYFUNCTION("""COMPUTED_VALUE"""),"Stebbins-Altadena-Fire-Rebuild")</f>
        <v>Stebbins-Altadena-Fire-Rebuild</v>
      </c>
      <c r="C138" s="1" t="str">
        <f>IFERROR(__xludf.DUMMYFUNCTION("""COMPUTED_VALUE"""),"A008.8 Pending Resubmittal")</f>
        <v>A008.8 Pending Resubmittal</v>
      </c>
      <c r="D138" s="4">
        <f>IFERROR(__xludf.DUMMYFUNCTION("""COMPUTED_VALUE"""),1063122.0)</f>
        <v>1063122</v>
      </c>
      <c r="E138" s="5" t="s">
        <v>20</v>
      </c>
      <c r="J138" s="2" t="s">
        <v>39</v>
      </c>
      <c r="K138" s="2" t="s">
        <v>47</v>
      </c>
      <c r="L138" s="2" t="s">
        <v>50</v>
      </c>
      <c r="M138" s="5" t="s">
        <v>48</v>
      </c>
      <c r="N138" s="5" t="s">
        <v>48</v>
      </c>
      <c r="O138" s="5" t="s">
        <v>37</v>
      </c>
      <c r="S138" s="6"/>
      <c r="T138" s="6"/>
      <c r="U138" s="6"/>
      <c r="V138" s="6"/>
      <c r="W138" s="6"/>
      <c r="X138" s="6"/>
    </row>
    <row r="139">
      <c r="A139" s="1" t="str">
        <f>IFERROR(__xludf.DUMMYFUNCTION("""COMPUTED_VALUE"""),"2503-423")</f>
        <v>2503-423</v>
      </c>
      <c r="B139" s="1" t="str">
        <f>IFERROR(__xludf.DUMMYFUNCTION("""COMPUTED_VALUE"""),"Carey-Cathedral-JADU")</f>
        <v>Carey-Cathedral-JADU</v>
      </c>
      <c r="C139" s="1" t="str">
        <f>IFERROR(__xludf.DUMMYFUNCTION("""COMPUTED_VALUE"""),"Abandoned,Expired")</f>
        <v>Abandoned,Expired</v>
      </c>
      <c r="D139" s="4">
        <f>IFERROR(__xludf.DUMMYFUNCTION("""COMPUTED_VALUE"""),1058787.0)</f>
        <v>1058787</v>
      </c>
      <c r="E139" s="5" t="s">
        <v>34</v>
      </c>
      <c r="J139" s="2" t="s">
        <v>47</v>
      </c>
      <c r="K139" s="2" t="s">
        <v>42</v>
      </c>
      <c r="L139" s="2" t="s">
        <v>33</v>
      </c>
      <c r="M139" s="5" t="s">
        <v>48</v>
      </c>
      <c r="N139" s="5" t="s">
        <v>48</v>
      </c>
      <c r="O139" s="5" t="s">
        <v>37</v>
      </c>
      <c r="S139" s="6"/>
      <c r="T139" s="6"/>
      <c r="U139" s="6"/>
      <c r="V139" s="6"/>
      <c r="W139" s="6"/>
      <c r="X139" s="6"/>
    </row>
    <row r="140">
      <c r="A140" s="1" t="str">
        <f>IFERROR(__xludf.DUMMYFUNCTION("""COMPUTED_VALUE"""),"2503-422")</f>
        <v>2503-422</v>
      </c>
      <c r="B140" s="1" t="str">
        <f>IFERROR(__xludf.DUMMYFUNCTION("""COMPUTED_VALUE"""),"Holcomb San Diego Addition and GADU")</f>
        <v>Holcomb San Diego Addition and GADU</v>
      </c>
      <c r="C140" s="1" t="str">
        <f>IFERROR(__xludf.DUMMYFUNCTION("""COMPUTED_VALUE"""),"A009 Resubmitted")</f>
        <v>A009 Resubmitted</v>
      </c>
      <c r="D140" s="4">
        <f>IFERROR(__xludf.DUMMYFUNCTION("""COMPUTED_VALUE"""),1057819.0)</f>
        <v>1057819</v>
      </c>
      <c r="E140" s="5" t="s">
        <v>20</v>
      </c>
      <c r="J140" s="2" t="s">
        <v>25</v>
      </c>
      <c r="K140" s="2" t="s">
        <v>35</v>
      </c>
      <c r="L140" s="2" t="s">
        <v>40</v>
      </c>
      <c r="M140" s="5" t="s">
        <v>27</v>
      </c>
      <c r="N140" s="5" t="s">
        <v>44</v>
      </c>
      <c r="O140" s="5" t="s">
        <v>27</v>
      </c>
      <c r="S140" s="6"/>
      <c r="T140" s="6"/>
      <c r="U140" s="6"/>
      <c r="V140" s="6"/>
      <c r="W140" s="6"/>
      <c r="X140" s="6"/>
    </row>
    <row r="141">
      <c r="A141" s="1" t="str">
        <f>IFERROR(__xludf.DUMMYFUNCTION("""COMPUTED_VALUE"""),"2503-421")</f>
        <v>2503-421</v>
      </c>
      <c r="B141" s="1" t="str">
        <f>IFERROR(__xludf.DUMMYFUNCTION("""COMPUTED_VALUE"""),"Lewis Altadena Fire Rebuild")</f>
        <v>Lewis Altadena Fire Rebuild</v>
      </c>
      <c r="C141" s="1" t="str">
        <f>IFERROR(__xludf.DUMMYFUNCTION("""COMPUTED_VALUE"""),"A009 Resubmitted")</f>
        <v>A009 Resubmitted</v>
      </c>
      <c r="D141" s="4">
        <f>IFERROR(__xludf.DUMMYFUNCTION("""COMPUTED_VALUE"""),1056810.0)</f>
        <v>1056810</v>
      </c>
      <c r="E141" s="5" t="s">
        <v>20</v>
      </c>
      <c r="F141" s="2"/>
      <c r="J141" s="2" t="s">
        <v>49</v>
      </c>
      <c r="K141" s="2" t="s">
        <v>35</v>
      </c>
      <c r="L141" s="2" t="s">
        <v>26</v>
      </c>
      <c r="M141" s="5" t="s">
        <v>37</v>
      </c>
      <c r="N141" s="5" t="s">
        <v>44</v>
      </c>
      <c r="O141" s="5" t="s">
        <v>27</v>
      </c>
      <c r="S141" s="6"/>
      <c r="T141" s="6"/>
      <c r="U141" s="6"/>
      <c r="V141" s="3">
        <v>46005.54113010417</v>
      </c>
      <c r="W141" s="3">
        <v>46005.541118090274</v>
      </c>
      <c r="X141" s="6"/>
    </row>
    <row r="142">
      <c r="A142" s="1" t="str">
        <f>IFERROR(__xludf.DUMMYFUNCTION("""COMPUTED_VALUE"""),"2503-420")</f>
        <v>2503-420</v>
      </c>
      <c r="B142" s="1" t="str">
        <f>IFERROR(__xludf.DUMMYFUNCTION("""COMPUTED_VALUE"""),"Juliana-LA-Lower-Deck-and-Den")</f>
        <v>Juliana-LA-Lower-Deck-and-Den</v>
      </c>
      <c r="C142" s="1" t="str">
        <f>IFERROR(__xludf.DUMMYFUNCTION("""COMPUTED_VALUE"""),"A008.2 Architectural Comment Responses")</f>
        <v>A008.2 Architectural Comment Responses</v>
      </c>
      <c r="D142" s="4">
        <f>IFERROR(__xludf.DUMMYFUNCTION("""COMPUTED_VALUE"""),1056733.0)</f>
        <v>1056733</v>
      </c>
      <c r="E142" s="5" t="s">
        <v>34</v>
      </c>
      <c r="J142" s="2" t="s">
        <v>47</v>
      </c>
      <c r="K142" s="2" t="s">
        <v>51</v>
      </c>
      <c r="L142" s="2" t="s">
        <v>49</v>
      </c>
      <c r="M142" s="5" t="s">
        <v>44</v>
      </c>
      <c r="N142" s="5" t="s">
        <v>37</v>
      </c>
      <c r="O142" s="5" t="s">
        <v>48</v>
      </c>
      <c r="S142" s="6"/>
      <c r="T142" s="6"/>
      <c r="U142" s="6"/>
      <c r="V142" s="6"/>
      <c r="W142" s="6"/>
      <c r="X142" s="6"/>
    </row>
    <row r="143">
      <c r="A143" s="1" t="str">
        <f>IFERROR(__xludf.DUMMYFUNCTION("""COMPUTED_VALUE"""),"2503-419")</f>
        <v>2503-419</v>
      </c>
      <c r="B143" s="1" t="str">
        <f>IFERROR(__xludf.DUMMYFUNCTION("""COMPUTED_VALUE"""),"Ochoa-Altadena-Fire-Rebuild")</f>
        <v>Ochoa-Altadena-Fire-Rebuild</v>
      </c>
      <c r="C143" s="1" t="str">
        <f>IFERROR(__xludf.DUMMYFUNCTION("""COMPUTED_VALUE"""),"Approved - Construction Phase")</f>
        <v>Approved - Construction Phase</v>
      </c>
      <c r="D143" s="4">
        <f>IFERROR(__xludf.DUMMYFUNCTION("""COMPUTED_VALUE"""),1054424.0)</f>
        <v>1054424</v>
      </c>
      <c r="E143" s="5" t="s">
        <v>20</v>
      </c>
      <c r="F143" s="2"/>
      <c r="J143" s="2" t="s">
        <v>39</v>
      </c>
      <c r="K143" s="2" t="s">
        <v>43</v>
      </c>
      <c r="L143" s="2" t="s">
        <v>49</v>
      </c>
      <c r="M143" s="5" t="s">
        <v>48</v>
      </c>
      <c r="N143" s="5" t="s">
        <v>44</v>
      </c>
      <c r="O143" s="5" t="s">
        <v>44</v>
      </c>
      <c r="S143" s="6"/>
      <c r="T143" s="6"/>
      <c r="U143" s="6"/>
      <c r="V143" s="3">
        <v>46005.541192847224</v>
      </c>
      <c r="W143" s="3">
        <v>46005.54118015047</v>
      </c>
      <c r="X143" s="6"/>
    </row>
    <row r="144">
      <c r="A144" s="1" t="str">
        <f>IFERROR(__xludf.DUMMYFUNCTION("""COMPUTED_VALUE"""),"2503-418")</f>
        <v>2503-418</v>
      </c>
      <c r="B144" s="1" t="str">
        <f>IFERROR(__xludf.DUMMYFUNCTION("""COMPUTED_VALUE"""),"Nguyen-Westminister-JADU-and-Addition")</f>
        <v>Nguyen-Westminister-JADU-and-Addition</v>
      </c>
      <c r="C144" s="1" t="str">
        <f>IFERROR(__xludf.DUMMYFUNCTION("""COMPUTED_VALUE"""),"A009 Resubmitted")</f>
        <v>A009 Resubmitted</v>
      </c>
      <c r="D144" s="4">
        <f>IFERROR(__xludf.DUMMYFUNCTION("""COMPUTED_VALUE"""),1052811.0)</f>
        <v>1052811</v>
      </c>
      <c r="E144" s="5" t="s">
        <v>20</v>
      </c>
      <c r="F144" s="2"/>
      <c r="J144" s="2" t="s">
        <v>35</v>
      </c>
      <c r="K144" s="2" t="s">
        <v>42</v>
      </c>
      <c r="L144" s="2" t="s">
        <v>23</v>
      </c>
      <c r="M144" s="5" t="s">
        <v>24</v>
      </c>
      <c r="N144" s="5" t="s">
        <v>37</v>
      </c>
      <c r="O144" s="5" t="s">
        <v>27</v>
      </c>
      <c r="S144" s="6"/>
      <c r="T144" s="6"/>
      <c r="U144" s="6"/>
      <c r="V144" s="3">
        <v>46005.54148153935</v>
      </c>
      <c r="W144" s="3">
        <v>46005.54145184028</v>
      </c>
      <c r="X144" s="6"/>
    </row>
    <row r="145">
      <c r="A145" s="1" t="str">
        <f>IFERROR(__xludf.DUMMYFUNCTION("""COMPUTED_VALUE"""),"2503-417")</f>
        <v>2503-417</v>
      </c>
      <c r="B145" s="1" t="str">
        <f>IFERROR(__xludf.DUMMYFUNCTION("""COMPUTED_VALUE"""),"Mitchner-Palisades-Galloway-Fire-Rebuild")</f>
        <v>Mitchner-Palisades-Galloway-Fire-Rebuild</v>
      </c>
      <c r="C145" s="1" t="str">
        <f>IFERROR(__xludf.DUMMYFUNCTION("""COMPUTED_VALUE"""),"A008.2 Architectural Comment Responses")</f>
        <v>A008.2 Architectural Comment Responses</v>
      </c>
      <c r="D145" s="4">
        <f>IFERROR(__xludf.DUMMYFUNCTION("""COMPUTED_VALUE"""),1050874.0)</f>
        <v>1050874</v>
      </c>
      <c r="E145" s="5" t="s">
        <v>20</v>
      </c>
      <c r="F145" s="2"/>
      <c r="J145" s="2" t="s">
        <v>36</v>
      </c>
      <c r="K145" s="2" t="s">
        <v>33</v>
      </c>
      <c r="L145" s="2" t="s">
        <v>51</v>
      </c>
      <c r="M145" s="5" t="s">
        <v>44</v>
      </c>
      <c r="N145" s="5" t="s">
        <v>27</v>
      </c>
      <c r="O145" s="5" t="s">
        <v>37</v>
      </c>
      <c r="S145" s="3">
        <v>46006.06989431713</v>
      </c>
      <c r="T145" s="6"/>
      <c r="U145" s="6"/>
      <c r="V145" s="3">
        <v>46005.5415484375</v>
      </c>
      <c r="W145" s="3">
        <v>46005.54153461805</v>
      </c>
      <c r="X145" s="6"/>
    </row>
    <row r="146">
      <c r="A146" s="1" t="str">
        <f>IFERROR(__xludf.DUMMYFUNCTION("""COMPUTED_VALUE"""),"2503-416")</f>
        <v>2503-416</v>
      </c>
      <c r="B146" s="1" t="str">
        <f>IFERROR(__xludf.DUMMYFUNCTION("""COMPUTED_VALUE"""),"Mitchner-Palisades-Fiske-Fire-Rebuild")</f>
        <v>Mitchner-Palisades-Fiske-Fire-Rebuild</v>
      </c>
      <c r="C146" s="1" t="str">
        <f>IFERROR(__xludf.DUMMYFUNCTION("""COMPUTED_VALUE"""),"A009 Resubmitted")</f>
        <v>A009 Resubmitted</v>
      </c>
      <c r="D146" s="4">
        <f>IFERROR(__xludf.DUMMYFUNCTION("""COMPUTED_VALUE"""),1050595.0)</f>
        <v>1050595</v>
      </c>
      <c r="E146" s="5" t="s">
        <v>34</v>
      </c>
      <c r="J146" s="2" t="s">
        <v>51</v>
      </c>
      <c r="K146" s="2" t="s">
        <v>51</v>
      </c>
      <c r="L146" s="2" t="s">
        <v>25</v>
      </c>
      <c r="M146" s="5" t="s">
        <v>27</v>
      </c>
      <c r="N146" s="5" t="s">
        <v>24</v>
      </c>
      <c r="O146" s="5" t="s">
        <v>37</v>
      </c>
      <c r="S146" s="6"/>
      <c r="T146" s="6"/>
      <c r="U146" s="6"/>
      <c r="V146" s="6"/>
      <c r="W146" s="6"/>
      <c r="X146" s="6"/>
    </row>
    <row r="147">
      <c r="A147" s="1" t="str">
        <f>IFERROR(__xludf.DUMMYFUNCTION("""COMPUTED_VALUE"""),"2503-415")</f>
        <v>2503-415</v>
      </c>
      <c r="B147" s="1" t="str">
        <f>IFERROR(__xludf.DUMMYFUNCTION("""COMPUTED_VALUE"""),"Amari-Palos-Verdes-New-SFH")</f>
        <v>Amari-Palos-Verdes-New-SFH</v>
      </c>
      <c r="C147" s="1" t="str">
        <f>IFERROR(__xludf.DUMMYFUNCTION("""COMPUTED_VALUE"""),"A005.9 - Submitted to Planning")</f>
        <v>A005.9 - Submitted to Planning</v>
      </c>
      <c r="D147" s="4">
        <f>IFERROR(__xludf.DUMMYFUNCTION("""COMPUTED_VALUE"""),1048905.0)</f>
        <v>1048905</v>
      </c>
      <c r="E147" s="5" t="s">
        <v>34</v>
      </c>
      <c r="F147" s="2"/>
      <c r="J147" s="2" t="s">
        <v>26</v>
      </c>
      <c r="K147" s="2" t="s">
        <v>50</v>
      </c>
      <c r="L147" s="2" t="s">
        <v>26</v>
      </c>
      <c r="M147" s="5" t="s">
        <v>44</v>
      </c>
      <c r="N147" s="5" t="s">
        <v>24</v>
      </c>
      <c r="O147" s="5" t="s">
        <v>24</v>
      </c>
      <c r="S147" s="3">
        <v>46005.54633997685</v>
      </c>
      <c r="T147" s="6"/>
      <c r="U147" s="6"/>
      <c r="V147" s="3">
        <v>46005.5468959375</v>
      </c>
      <c r="W147" s="3">
        <v>46005.5416410301</v>
      </c>
      <c r="X147" s="6"/>
    </row>
    <row r="148">
      <c r="A148" s="1" t="str">
        <f>IFERROR(__xludf.DUMMYFUNCTION("""COMPUTED_VALUE"""),"2503-414")</f>
        <v>2503-414</v>
      </c>
      <c r="B148" s="1" t="str">
        <f>IFERROR(__xludf.DUMMYFUNCTION("""COMPUTED_VALUE"""),"Reynolds Pasadena Fire Rebuild")</f>
        <v>Reynolds Pasadena Fire Rebuild</v>
      </c>
      <c r="C148" s="1" t="str">
        <f>IFERROR(__xludf.DUMMYFUNCTION("""COMPUTED_VALUE"""),"Approved - Construction Phase")</f>
        <v>Approved - Construction Phase</v>
      </c>
      <c r="D148" s="4">
        <f>IFERROR(__xludf.DUMMYFUNCTION("""COMPUTED_VALUE"""),1046839.0)</f>
        <v>1046839</v>
      </c>
      <c r="E148" s="5" t="s">
        <v>20</v>
      </c>
      <c r="J148" s="2" t="s">
        <v>40</v>
      </c>
      <c r="K148" s="2" t="s">
        <v>40</v>
      </c>
      <c r="L148" s="2" t="s">
        <v>35</v>
      </c>
      <c r="M148" s="5" t="s">
        <v>27</v>
      </c>
      <c r="N148" s="5" t="s">
        <v>27</v>
      </c>
      <c r="O148" s="5" t="s">
        <v>24</v>
      </c>
      <c r="S148" s="6"/>
      <c r="T148" s="6"/>
      <c r="U148" s="6"/>
      <c r="V148" s="6"/>
      <c r="W148" s="6"/>
      <c r="X148" s="6"/>
    </row>
    <row r="149">
      <c r="A149" s="1" t="str">
        <f>IFERROR(__xludf.DUMMYFUNCTION("""COMPUTED_VALUE"""),"2503-413")</f>
        <v>2503-413</v>
      </c>
      <c r="B149" s="1" t="str">
        <f>IFERROR(__xludf.DUMMYFUNCTION("""COMPUTED_VALUE"""),"Antrim Lake Elsinore Modular ADU")</f>
        <v>Antrim Lake Elsinore Modular ADU</v>
      </c>
      <c r="C149" s="1" t="str">
        <f>IFERROR(__xludf.DUMMYFUNCTION("""COMPUTED_VALUE"""),"Completed - Sent to Client")</f>
        <v>Completed - Sent to Client</v>
      </c>
      <c r="D149" s="4">
        <f>IFERROR(__xludf.DUMMYFUNCTION("""COMPUTED_VALUE"""),1045531.0)</f>
        <v>1045531</v>
      </c>
      <c r="E149" s="5" t="s">
        <v>34</v>
      </c>
      <c r="J149" s="2" t="s">
        <v>50</v>
      </c>
      <c r="K149" s="2" t="s">
        <v>39</v>
      </c>
      <c r="L149" s="2" t="s">
        <v>35</v>
      </c>
      <c r="M149" s="5" t="s">
        <v>44</v>
      </c>
      <c r="N149" s="5" t="s">
        <v>24</v>
      </c>
      <c r="O149" s="5" t="s">
        <v>37</v>
      </c>
      <c r="S149" s="6"/>
      <c r="T149" s="6"/>
      <c r="U149" s="6"/>
      <c r="V149" s="6"/>
      <c r="W149" s="3">
        <v>46005.54181751158</v>
      </c>
      <c r="X149" s="6"/>
    </row>
    <row r="150">
      <c r="A150" s="1" t="str">
        <f>IFERROR(__xludf.DUMMYFUNCTION("""COMPUTED_VALUE"""),"2503-412")</f>
        <v>2503-412</v>
      </c>
      <c r="B150" s="1" t="str">
        <f>IFERROR(__xludf.DUMMYFUNCTION("""COMPUTED_VALUE"""),"Kao Brea Commercial Site and Floor Plans")</f>
        <v>Kao Brea Commercial Site and Floor Plans</v>
      </c>
      <c r="C150" s="1" t="str">
        <f>IFERROR(__xludf.DUMMYFUNCTION("""COMPUTED_VALUE"""),"Approved - Construction Phase")</f>
        <v>Approved - Construction Phase</v>
      </c>
      <c r="D150" s="4">
        <f>IFERROR(__xludf.DUMMYFUNCTION("""COMPUTED_VALUE"""),1044481.0)</f>
        <v>1044481</v>
      </c>
      <c r="E150" s="5" t="s">
        <v>34</v>
      </c>
      <c r="J150" s="2" t="s">
        <v>49</v>
      </c>
      <c r="K150" s="2" t="s">
        <v>25</v>
      </c>
      <c r="L150" s="2" t="s">
        <v>39</v>
      </c>
      <c r="M150" s="5" t="s">
        <v>48</v>
      </c>
      <c r="N150" s="5" t="s">
        <v>37</v>
      </c>
      <c r="O150" s="5" t="s">
        <v>24</v>
      </c>
      <c r="S150" s="6"/>
      <c r="T150" s="6"/>
      <c r="U150" s="6"/>
      <c r="V150" s="6"/>
      <c r="W150" s="6"/>
      <c r="X150" s="6"/>
    </row>
    <row r="151">
      <c r="A151" s="1" t="str">
        <f>IFERROR(__xludf.DUMMYFUNCTION("""COMPUTED_VALUE"""),"2503-411")</f>
        <v>2503-411</v>
      </c>
      <c r="B151" s="1" t="str">
        <f>IFERROR(__xludf.DUMMYFUNCTION("""COMPUTED_VALUE"""),"Brotman LA Duplex Permitting")</f>
        <v>Brotman LA Duplex Permitting</v>
      </c>
      <c r="C151" s="1" t="str">
        <f>IFERROR(__xludf.DUMMYFUNCTION("""COMPUTED_VALUE"""),"Paused - Stalled by 3rd Party")</f>
        <v>Paused - Stalled by 3rd Party</v>
      </c>
      <c r="D151" s="4">
        <f>IFERROR(__xludf.DUMMYFUNCTION("""COMPUTED_VALUE"""),1044221.0)</f>
        <v>1044221</v>
      </c>
      <c r="E151" s="5" t="s">
        <v>34</v>
      </c>
      <c r="J151" s="2" t="s">
        <v>43</v>
      </c>
      <c r="K151" s="2" t="s">
        <v>47</v>
      </c>
      <c r="L151" s="2" t="s">
        <v>36</v>
      </c>
      <c r="M151" s="5" t="s">
        <v>37</v>
      </c>
      <c r="N151" s="5" t="s">
        <v>44</v>
      </c>
      <c r="O151" s="5" t="s">
        <v>48</v>
      </c>
      <c r="S151" s="6"/>
      <c r="T151" s="6"/>
      <c r="U151" s="6"/>
      <c r="V151" s="6"/>
      <c r="W151" s="6"/>
      <c r="X151" s="6"/>
    </row>
    <row r="152">
      <c r="A152" s="1" t="str">
        <f>IFERROR(__xludf.DUMMYFUNCTION("""COMPUTED_VALUE"""),"2503-410")</f>
        <v>2503-410</v>
      </c>
      <c r="B152" s="1" t="str">
        <f>IFERROR(__xludf.DUMMYFUNCTION("""COMPUTED_VALUE"""),"Skibinski Altadena Rebuild")</f>
        <v>Skibinski Altadena Rebuild</v>
      </c>
      <c r="C152" s="1" t="str">
        <f>IFERROR(__xludf.DUMMYFUNCTION("""COMPUTED_VALUE"""),"Approved - Construction Phase")</f>
        <v>Approved - Construction Phase</v>
      </c>
      <c r="D152" s="4">
        <f>IFERROR(__xludf.DUMMYFUNCTION("""COMPUTED_VALUE"""),1042075.0)</f>
        <v>1042075</v>
      </c>
      <c r="E152" s="5" t="s">
        <v>34</v>
      </c>
      <c r="J152" s="2" t="s">
        <v>35</v>
      </c>
      <c r="K152" s="2" t="s">
        <v>40</v>
      </c>
      <c r="L152" s="2" t="s">
        <v>32</v>
      </c>
      <c r="M152" s="5" t="s">
        <v>27</v>
      </c>
      <c r="N152" s="5" t="s">
        <v>37</v>
      </c>
      <c r="O152" s="5" t="s">
        <v>48</v>
      </c>
      <c r="S152" s="6"/>
      <c r="T152" s="6"/>
      <c r="U152" s="6"/>
      <c r="V152" s="6"/>
      <c r="W152" s="6"/>
      <c r="X152" s="6"/>
    </row>
    <row r="153">
      <c r="A153" s="1" t="str">
        <f>IFERROR(__xludf.DUMMYFUNCTION("""COMPUTED_VALUE"""),"2503-409")</f>
        <v>2503-409</v>
      </c>
      <c r="B153" s="1" t="str">
        <f>IFERROR(__xludf.DUMMYFUNCTION("""COMPUTED_VALUE"""),"Goldman-Tarzana-Permitting-Plans")</f>
        <v>Goldman-Tarzana-Permitting-Plans</v>
      </c>
      <c r="C153" s="1" t="str">
        <f>IFERROR(__xludf.DUMMYFUNCTION("""COMPUTED_VALUE"""),"Abandoned,Expired")</f>
        <v>Abandoned,Expired</v>
      </c>
      <c r="D153" s="4">
        <f>IFERROR(__xludf.DUMMYFUNCTION("""COMPUTED_VALUE"""),1041521.0)</f>
        <v>1041521</v>
      </c>
      <c r="E153" s="5" t="s">
        <v>34</v>
      </c>
      <c r="J153" s="2" t="s">
        <v>33</v>
      </c>
      <c r="K153" s="2" t="s">
        <v>23</v>
      </c>
      <c r="L153" s="2" t="s">
        <v>43</v>
      </c>
      <c r="M153" s="5" t="s">
        <v>27</v>
      </c>
      <c r="N153" s="5" t="s">
        <v>24</v>
      </c>
      <c r="O153" s="5" t="s">
        <v>44</v>
      </c>
      <c r="S153" s="6"/>
      <c r="T153" s="6"/>
      <c r="U153" s="6"/>
      <c r="V153" s="6"/>
      <c r="W153" s="3">
        <v>46006.004900844906</v>
      </c>
      <c r="X153" s="6"/>
    </row>
    <row r="154">
      <c r="A154" s="1" t="str">
        <f>IFERROR(__xludf.DUMMYFUNCTION("""COMPUTED_VALUE"""),"2503-408")</f>
        <v>2503-408</v>
      </c>
      <c r="B154" s="1" t="str">
        <f>IFERROR(__xludf.DUMMYFUNCTION("""COMPUTED_VALUE"""),"Linnett-Oxnard-ADU-Pemit")</f>
        <v>Linnett-Oxnard-ADU-Pemit</v>
      </c>
      <c r="C154" s="1" t="str">
        <f>IFERROR(__xludf.DUMMYFUNCTION("""COMPUTED_VALUE"""),"Approved - Construction Phase")</f>
        <v>Approved - Construction Phase</v>
      </c>
      <c r="D154" s="4">
        <f>IFERROR(__xludf.DUMMYFUNCTION("""COMPUTED_VALUE"""),1040849.0)</f>
        <v>1040849</v>
      </c>
      <c r="E154" s="5" t="s">
        <v>20</v>
      </c>
      <c r="J154" s="2" t="s">
        <v>43</v>
      </c>
      <c r="K154" s="2" t="s">
        <v>39</v>
      </c>
      <c r="L154" s="2" t="s">
        <v>43</v>
      </c>
      <c r="M154" s="5" t="s">
        <v>44</v>
      </c>
      <c r="N154" s="5" t="s">
        <v>44</v>
      </c>
      <c r="O154" s="5" t="s">
        <v>44</v>
      </c>
      <c r="S154" s="6"/>
      <c r="T154" s="6"/>
      <c r="U154" s="6"/>
      <c r="V154" s="6"/>
      <c r="W154" s="6"/>
      <c r="X154" s="6"/>
    </row>
    <row r="155">
      <c r="A155" s="1" t="str">
        <f>IFERROR(__xludf.DUMMYFUNCTION("""COMPUTED_VALUE"""),"2503-407")</f>
        <v>2503-407</v>
      </c>
      <c r="B155" s="1" t="str">
        <f>IFERROR(__xludf.DUMMYFUNCTION("""COMPUTED_VALUE"""),"Tijerina-SD-Pergola-Patio-Permits")</f>
        <v>Tijerina-SD-Pergola-Patio-Permits</v>
      </c>
      <c r="C155" s="1" t="str">
        <f>IFERROR(__xludf.DUMMYFUNCTION("""COMPUTED_VALUE"""),"A008.5 Structural Engineering Corrections")</f>
        <v>A008.5 Structural Engineering Corrections</v>
      </c>
      <c r="D155" s="4">
        <f>IFERROR(__xludf.DUMMYFUNCTION("""COMPUTED_VALUE"""),1038345.0)</f>
        <v>1038345</v>
      </c>
      <c r="E155" s="5" t="s">
        <v>34</v>
      </c>
      <c r="J155" s="2" t="s">
        <v>25</v>
      </c>
      <c r="K155" s="2" t="s">
        <v>33</v>
      </c>
      <c r="L155" s="2" t="s">
        <v>47</v>
      </c>
      <c r="M155" s="5" t="s">
        <v>44</v>
      </c>
      <c r="N155" s="5" t="s">
        <v>24</v>
      </c>
      <c r="O155" s="5" t="s">
        <v>37</v>
      </c>
      <c r="S155" s="6"/>
      <c r="T155" s="6"/>
      <c r="U155" s="6"/>
      <c r="V155" s="6"/>
      <c r="W155" s="6"/>
      <c r="X155" s="6"/>
    </row>
    <row r="156">
      <c r="A156" s="1" t="str">
        <f>IFERROR(__xludf.DUMMYFUNCTION("""COMPUTED_VALUE"""),"2503-406")</f>
        <v>2503-406</v>
      </c>
      <c r="B156" s="1" t="str">
        <f>IFERROR(__xludf.DUMMYFUNCTION("""COMPUTED_VALUE"""),"Dahdah-San-Pedro-Garage-ADU")</f>
        <v>Dahdah-San-Pedro-Garage-ADU</v>
      </c>
      <c r="C156" s="1" t="str">
        <f>IFERROR(__xludf.DUMMYFUNCTION("""COMPUTED_VALUE"""),"Approved - Construction Phase")</f>
        <v>Approved - Construction Phase</v>
      </c>
      <c r="D156" s="4">
        <f>IFERROR(__xludf.DUMMYFUNCTION("""COMPUTED_VALUE"""),1038284.0)</f>
        <v>1038284</v>
      </c>
      <c r="E156" s="5" t="s">
        <v>34</v>
      </c>
      <c r="J156" s="2" t="s">
        <v>49</v>
      </c>
      <c r="K156" s="2" t="s">
        <v>49</v>
      </c>
      <c r="L156" s="2" t="s">
        <v>49</v>
      </c>
      <c r="M156" s="5" t="s">
        <v>44</v>
      </c>
      <c r="N156" s="5" t="s">
        <v>24</v>
      </c>
      <c r="O156" s="5" t="s">
        <v>37</v>
      </c>
      <c r="S156" s="6"/>
      <c r="T156" s="6"/>
      <c r="U156" s="6"/>
      <c r="V156" s="6"/>
      <c r="W156" s="6"/>
      <c r="X156" s="6"/>
    </row>
    <row r="157">
      <c r="A157" s="1" t="str">
        <f>IFERROR(__xludf.DUMMYFUNCTION("""COMPUTED_VALUE"""),"2502-405")</f>
        <v>2502-405</v>
      </c>
      <c r="B157" s="1" t="str">
        <f>IFERROR(__xludf.DUMMYFUNCTION("""COMPUTED_VALUE"""),"Gavin-Vista-Structural-Plans")</f>
        <v>Gavin-Vista-Structural-Plans</v>
      </c>
      <c r="C157" s="1" t="str">
        <f>IFERROR(__xludf.DUMMYFUNCTION("""COMPUTED_VALUE"""),"A009 Resubmitted")</f>
        <v>A009 Resubmitted</v>
      </c>
      <c r="D157" s="4">
        <f>IFERROR(__xludf.DUMMYFUNCTION("""COMPUTED_VALUE"""),1036995.0)</f>
        <v>1036995</v>
      </c>
      <c r="E157" s="5" t="s">
        <v>34</v>
      </c>
      <c r="J157" s="2" t="s">
        <v>26</v>
      </c>
      <c r="K157" s="2" t="s">
        <v>26</v>
      </c>
      <c r="L157" s="2" t="s">
        <v>22</v>
      </c>
      <c r="M157" s="5" t="s">
        <v>24</v>
      </c>
      <c r="N157" s="5" t="s">
        <v>48</v>
      </c>
      <c r="O157" s="2" t="s">
        <v>24</v>
      </c>
      <c r="S157" s="6"/>
      <c r="T157" s="6"/>
      <c r="U157" s="3">
        <v>46007.012117569444</v>
      </c>
      <c r="V157" s="6"/>
      <c r="W157" s="6"/>
      <c r="X157" s="6"/>
    </row>
    <row r="158">
      <c r="A158" s="1" t="str">
        <f>IFERROR(__xludf.DUMMYFUNCTION("""COMPUTED_VALUE"""),"2502-404")</f>
        <v>2502-404</v>
      </c>
      <c r="B158" s="1" t="str">
        <f>IFERROR(__xludf.DUMMYFUNCTION("""COMPUTED_VALUE"""),"Yeck-SD-Deck-and-Balcony-Violation")</f>
        <v>Yeck-SD-Deck-and-Balcony-Violation</v>
      </c>
      <c r="C158" s="1" t="str">
        <f>IFERROR(__xludf.DUMMYFUNCTION("""COMPUTED_VALUE"""),"A009 Resubmitted")</f>
        <v>A009 Resubmitted</v>
      </c>
      <c r="D158" s="4">
        <f>IFERROR(__xludf.DUMMYFUNCTION("""COMPUTED_VALUE"""),1036992.0)</f>
        <v>1036992</v>
      </c>
      <c r="E158" s="5" t="s">
        <v>20</v>
      </c>
      <c r="J158" s="2" t="s">
        <v>25</v>
      </c>
      <c r="K158" s="2" t="s">
        <v>50</v>
      </c>
      <c r="L158" s="2" t="s">
        <v>35</v>
      </c>
      <c r="M158" s="5" t="s">
        <v>48</v>
      </c>
      <c r="N158" s="5" t="s">
        <v>48</v>
      </c>
      <c r="O158" s="5" t="s">
        <v>48</v>
      </c>
      <c r="S158" s="6"/>
      <c r="T158" s="3">
        <v>46005.20652274306</v>
      </c>
      <c r="U158" s="6"/>
      <c r="V158" s="6"/>
      <c r="W158" s="6"/>
      <c r="X158" s="6"/>
    </row>
    <row r="159">
      <c r="A159" s="1" t="str">
        <f>IFERROR(__xludf.DUMMYFUNCTION("""COMPUTED_VALUE"""),"2502-403")</f>
        <v>2502-403</v>
      </c>
      <c r="B159" s="1" t="str">
        <f>IFERROR(__xludf.DUMMYFUNCTION("""COMPUTED_VALUE"""),"Peach-San-Diego-Bathroom-Addition")</f>
        <v>Peach-San-Diego-Bathroom-Addition</v>
      </c>
      <c r="C159" s="1" t="str">
        <f>IFERROR(__xludf.DUMMYFUNCTION("""COMPUTED_VALUE"""),"Approved - Construction Phase")</f>
        <v>Approved - Construction Phase</v>
      </c>
      <c r="D159" s="4">
        <f>IFERROR(__xludf.DUMMYFUNCTION("""COMPUTED_VALUE"""),1035412.0)</f>
        <v>1035412</v>
      </c>
      <c r="E159" s="5" t="s">
        <v>34</v>
      </c>
      <c r="J159" s="2" t="s">
        <v>36</v>
      </c>
      <c r="K159" s="2" t="s">
        <v>33</v>
      </c>
      <c r="L159" s="2" t="s">
        <v>23</v>
      </c>
      <c r="M159" s="5" t="s">
        <v>37</v>
      </c>
      <c r="N159" s="5" t="s">
        <v>24</v>
      </c>
      <c r="O159" s="5" t="s">
        <v>48</v>
      </c>
      <c r="S159" s="6"/>
      <c r="T159" s="6"/>
      <c r="U159" s="6"/>
      <c r="V159" s="6"/>
      <c r="W159" s="6"/>
      <c r="X159" s="6"/>
    </row>
    <row r="160">
      <c r="A160" s="1" t="str">
        <f>IFERROR(__xludf.DUMMYFUNCTION("""COMPUTED_VALUE"""),"2502-402")</f>
        <v>2502-402</v>
      </c>
      <c r="B160" s="1" t="str">
        <f>IFERROR(__xludf.DUMMYFUNCTION("""COMPUTED_VALUE"""),"Stopka-Palisades-New-SFH")</f>
        <v>Stopka-Palisades-New-SFH</v>
      </c>
      <c r="C160" s="1" t="str">
        <f>IFERROR(__xludf.DUMMYFUNCTION("""COMPUTED_VALUE"""),"Approved - Construction Phase")</f>
        <v>Approved - Construction Phase</v>
      </c>
      <c r="D160" s="4">
        <f>IFERROR(__xludf.DUMMYFUNCTION("""COMPUTED_VALUE"""),1034864.0)</f>
        <v>1034864</v>
      </c>
      <c r="E160" s="5" t="s">
        <v>34</v>
      </c>
      <c r="J160" s="2" t="s">
        <v>25</v>
      </c>
      <c r="K160" s="2" t="s">
        <v>47</v>
      </c>
      <c r="L160" s="2" t="s">
        <v>36</v>
      </c>
      <c r="M160" s="5" t="s">
        <v>44</v>
      </c>
      <c r="N160" s="5" t="s">
        <v>24</v>
      </c>
      <c r="O160" s="5" t="s">
        <v>37</v>
      </c>
      <c r="S160" s="6"/>
      <c r="T160" s="6"/>
      <c r="U160" s="6"/>
      <c r="V160" s="6"/>
      <c r="W160" s="6"/>
      <c r="X160" s="6"/>
    </row>
    <row r="161">
      <c r="A161" s="1" t="str">
        <f>IFERROR(__xludf.DUMMYFUNCTION("""COMPUTED_VALUE"""),"2502-401")</f>
        <v>2502-401</v>
      </c>
      <c r="B161" s="1" t="str">
        <f>IFERROR(__xludf.DUMMYFUNCTION("""COMPUTED_VALUE"""),"Johnson-Altadena-SFH-Rebuild")</f>
        <v>Johnson-Altadena-SFH-Rebuild</v>
      </c>
      <c r="C161" s="1" t="str">
        <f>IFERROR(__xludf.DUMMYFUNCTION("""COMPUTED_VALUE"""),"A008.2 Architectural Comment Responses")</f>
        <v>A008.2 Architectural Comment Responses</v>
      </c>
      <c r="D161" s="4">
        <f>IFERROR(__xludf.DUMMYFUNCTION("""COMPUTED_VALUE"""),1033881.0)</f>
        <v>1033881</v>
      </c>
      <c r="E161" s="5" t="s">
        <v>20</v>
      </c>
      <c r="F161" s="2"/>
      <c r="J161" s="2" t="s">
        <v>36</v>
      </c>
      <c r="K161" s="2" t="s">
        <v>39</v>
      </c>
      <c r="L161" s="2" t="s">
        <v>50</v>
      </c>
      <c r="M161" s="5" t="s">
        <v>44</v>
      </c>
      <c r="N161" s="5" t="s">
        <v>27</v>
      </c>
      <c r="O161" s="5" t="s">
        <v>27</v>
      </c>
      <c r="S161" s="3">
        <v>46005.52851239583</v>
      </c>
      <c r="T161" s="6"/>
      <c r="U161" s="6"/>
      <c r="V161" s="3">
        <v>46005.50947903935</v>
      </c>
      <c r="W161" s="3">
        <v>46005.50917888889</v>
      </c>
      <c r="X161" s="6"/>
    </row>
    <row r="162">
      <c r="A162" s="1" t="str">
        <f>IFERROR(__xludf.DUMMYFUNCTION("""COMPUTED_VALUE"""),"2502-400")</f>
        <v>2502-400</v>
      </c>
      <c r="B162" s="1" t="str">
        <f>IFERROR(__xludf.DUMMYFUNCTION("""COMPUTED_VALUE"""),"Vickers-Oceanside-New-Primary-Suite-Plans")</f>
        <v>Vickers-Oceanside-New-Primary-Suite-Plans</v>
      </c>
      <c r="C162" s="1" t="str">
        <f>IFERROR(__xludf.DUMMYFUNCTION("""COMPUTED_VALUE"""),"Approved - Construction Phase")</f>
        <v>Approved - Construction Phase</v>
      </c>
      <c r="D162" s="4">
        <f>IFERROR(__xludf.DUMMYFUNCTION("""COMPUTED_VALUE"""),1033088.0)</f>
        <v>1033088</v>
      </c>
      <c r="E162" s="5" t="s">
        <v>20</v>
      </c>
      <c r="J162" s="2" t="s">
        <v>50</v>
      </c>
      <c r="K162" s="2" t="s">
        <v>23</v>
      </c>
      <c r="L162" s="2" t="s">
        <v>33</v>
      </c>
      <c r="M162" s="5" t="s">
        <v>37</v>
      </c>
      <c r="N162" s="5" t="s">
        <v>48</v>
      </c>
      <c r="O162" s="5" t="s">
        <v>44</v>
      </c>
      <c r="S162" s="6"/>
      <c r="T162" s="6"/>
      <c r="U162" s="6"/>
      <c r="V162" s="6"/>
      <c r="W162" s="6"/>
      <c r="X162" s="6"/>
    </row>
    <row r="163">
      <c r="A163" s="1" t="str">
        <f>IFERROR(__xludf.DUMMYFUNCTION("""COMPUTED_VALUE"""),"2502-399")</f>
        <v>2502-399</v>
      </c>
      <c r="B163" s="1" t="str">
        <f>IFERROR(__xludf.DUMMYFUNCTION("""COMPUTED_VALUE"""),"Ram-Fam-Demo-Colton-Site-Plan")</f>
        <v>Ram-Fam-Demo-Colton-Site-Plan</v>
      </c>
      <c r="C163" s="1" t="str">
        <f>IFERROR(__xludf.DUMMYFUNCTION("""COMPUTED_VALUE"""),"Approved - Construction Phase")</f>
        <v>Approved - Construction Phase</v>
      </c>
      <c r="D163" s="4">
        <f>IFERROR(__xludf.DUMMYFUNCTION("""COMPUTED_VALUE"""),1032957.0)</f>
        <v>1032957</v>
      </c>
      <c r="E163" s="5" t="s">
        <v>20</v>
      </c>
      <c r="J163" s="2" t="s">
        <v>50</v>
      </c>
      <c r="K163" s="2" t="s">
        <v>39</v>
      </c>
      <c r="L163" s="2" t="s">
        <v>32</v>
      </c>
      <c r="M163" s="5" t="s">
        <v>24</v>
      </c>
      <c r="N163" s="5" t="s">
        <v>44</v>
      </c>
      <c r="O163" s="5" t="s">
        <v>44</v>
      </c>
      <c r="S163" s="6"/>
      <c r="T163" s="6"/>
      <c r="U163" s="6"/>
      <c r="V163" s="6"/>
      <c r="W163" s="6"/>
      <c r="X163" s="6"/>
    </row>
    <row r="164">
      <c r="A164" s="1" t="str">
        <f>IFERROR(__xludf.DUMMYFUNCTION("""COMPUTED_VALUE"""),"2502-398")</f>
        <v>2502-398</v>
      </c>
      <c r="B164" s="1" t="str">
        <f>IFERROR(__xludf.DUMMYFUNCTION("""COMPUTED_VALUE"""),"Romero-Moreno-Valley-Garage-ADU")</f>
        <v>Romero-Moreno-Valley-Garage-ADU</v>
      </c>
      <c r="C164" s="1" t="str">
        <f>IFERROR(__xludf.DUMMYFUNCTION("""COMPUTED_VALUE"""),"A009 Resubmitted")</f>
        <v>A009 Resubmitted</v>
      </c>
      <c r="D164" s="4">
        <f>IFERROR(__xludf.DUMMYFUNCTION("""COMPUTED_VALUE"""),1030937.0)</f>
        <v>1030937</v>
      </c>
      <c r="E164" s="5" t="s">
        <v>20</v>
      </c>
      <c r="J164" s="2" t="s">
        <v>23</v>
      </c>
      <c r="K164" s="2" t="s">
        <v>26</v>
      </c>
      <c r="L164" s="2" t="s">
        <v>47</v>
      </c>
      <c r="M164" s="5" t="s">
        <v>27</v>
      </c>
      <c r="N164" s="5" t="s">
        <v>24</v>
      </c>
      <c r="O164" s="5" t="s">
        <v>48</v>
      </c>
      <c r="S164" s="6"/>
      <c r="T164" s="6"/>
      <c r="U164" s="6"/>
      <c r="V164" s="6"/>
      <c r="W164" s="6"/>
      <c r="X164" s="6"/>
    </row>
    <row r="165">
      <c r="A165" s="1" t="str">
        <f>IFERROR(__xludf.DUMMYFUNCTION("""COMPUTED_VALUE"""),"2502-397")</f>
        <v>2502-397</v>
      </c>
      <c r="B165" s="1" t="str">
        <f>IFERROR(__xludf.DUMMYFUNCTION("""COMPUTED_VALUE"""),"Forster-Altadena-Fire-New-SFH")</f>
        <v>Forster-Altadena-Fire-New-SFH</v>
      </c>
      <c r="C165" s="1" t="str">
        <f>IFERROR(__xludf.DUMMYFUNCTION("""COMPUTED_VALUE"""),"A008.6 Arch Packaging Re-Submittal")</f>
        <v>A008.6 Arch Packaging Re-Submittal</v>
      </c>
      <c r="D165" s="4">
        <f>IFERROR(__xludf.DUMMYFUNCTION("""COMPUTED_VALUE"""),1030917.0)</f>
        <v>1030917</v>
      </c>
      <c r="E165" s="5" t="s">
        <v>20</v>
      </c>
      <c r="J165" s="2" t="s">
        <v>43</v>
      </c>
      <c r="K165" s="2" t="s">
        <v>43</v>
      </c>
      <c r="L165" s="2" t="s">
        <v>51</v>
      </c>
      <c r="M165" s="5" t="s">
        <v>48</v>
      </c>
      <c r="N165" s="5" t="s">
        <v>44</v>
      </c>
      <c r="O165" s="5" t="s">
        <v>48</v>
      </c>
      <c r="S165" s="6"/>
      <c r="T165" s="6"/>
      <c r="U165" s="6"/>
      <c r="V165" s="6"/>
      <c r="W165" s="6"/>
      <c r="X165" s="6"/>
    </row>
    <row r="166">
      <c r="A166" s="1" t="str">
        <f>IFERROR(__xludf.DUMMYFUNCTION("""COMPUTED_VALUE"""),"2502-396")</f>
        <v>2502-396</v>
      </c>
      <c r="B166" s="1" t="str">
        <f>IFERROR(__xludf.DUMMYFUNCTION("""COMPUTED_VALUE"""),"Ibrahem-La-Mesa-Structural")</f>
        <v>Ibrahem-La-Mesa-Structural</v>
      </c>
      <c r="C166" s="1" t="str">
        <f>IFERROR(__xludf.DUMMYFUNCTION("""COMPUTED_VALUE"""),"Approved - Construction Phase")</f>
        <v>Approved - Construction Phase</v>
      </c>
      <c r="D166" s="4">
        <f>IFERROR(__xludf.DUMMYFUNCTION("""COMPUTED_VALUE"""),1030837.0)</f>
        <v>1030837</v>
      </c>
      <c r="E166" s="5" t="s">
        <v>34</v>
      </c>
      <c r="J166" s="2" t="s">
        <v>39</v>
      </c>
      <c r="K166" s="2" t="s">
        <v>47</v>
      </c>
      <c r="L166" s="2" t="s">
        <v>25</v>
      </c>
      <c r="M166" s="5" t="s">
        <v>48</v>
      </c>
      <c r="N166" s="5" t="s">
        <v>37</v>
      </c>
      <c r="O166" s="5" t="s">
        <v>37</v>
      </c>
      <c r="S166" s="6"/>
      <c r="T166" s="6"/>
      <c r="U166" s="6"/>
      <c r="V166" s="6"/>
      <c r="W166" s="6"/>
      <c r="X166" s="6"/>
    </row>
    <row r="167">
      <c r="A167" s="1" t="str">
        <f>IFERROR(__xludf.DUMMYFUNCTION("""COMPUTED_VALUE"""),"2502-395")</f>
        <v>2502-395</v>
      </c>
      <c r="B167" s="1" t="str">
        <f>IFERROR(__xludf.DUMMYFUNCTION("""COMPUTED_VALUE"""),"Garcia-Lancaster-New-SFH")</f>
        <v>Garcia-Lancaster-New-SFH</v>
      </c>
      <c r="C167" s="1" t="str">
        <f>IFERROR(__xludf.DUMMYFUNCTION("""COMPUTED_VALUE"""),"A008.5 Structural Engineering Corrections")</f>
        <v>A008.5 Structural Engineering Corrections</v>
      </c>
      <c r="D167" s="4">
        <f>IFERROR(__xludf.DUMMYFUNCTION("""COMPUTED_VALUE"""),1030761.0)</f>
        <v>1030761</v>
      </c>
      <c r="E167" s="5" t="s">
        <v>20</v>
      </c>
      <c r="J167" s="2" t="s">
        <v>47</v>
      </c>
      <c r="K167" s="2" t="s">
        <v>51</v>
      </c>
      <c r="L167" s="2" t="s">
        <v>51</v>
      </c>
      <c r="M167" s="5" t="s">
        <v>24</v>
      </c>
      <c r="N167" s="5" t="s">
        <v>37</v>
      </c>
      <c r="O167" s="5" t="s">
        <v>44</v>
      </c>
      <c r="S167" s="6"/>
      <c r="T167" s="6"/>
      <c r="U167" s="6"/>
      <c r="V167" s="6"/>
      <c r="W167" s="6"/>
      <c r="X167" s="6"/>
    </row>
    <row r="168">
      <c r="A168" s="1" t="str">
        <f>IFERROR(__xludf.DUMMYFUNCTION("""COMPUTED_VALUE"""),"2502-394")</f>
        <v>2502-394</v>
      </c>
      <c r="B168" s="1" t="str">
        <f>IFERROR(__xludf.DUMMYFUNCTION("""COMPUTED_VALUE"""),"Cutbuilt-San Marcos-Addition")</f>
        <v>Cutbuilt-San Marcos-Addition</v>
      </c>
      <c r="C168" s="1" t="str">
        <f>IFERROR(__xludf.DUMMYFUNCTION("""COMPUTED_VALUE"""),"Approved - Construction Phase")</f>
        <v>Approved - Construction Phase</v>
      </c>
      <c r="D168" s="4">
        <f>IFERROR(__xludf.DUMMYFUNCTION("""COMPUTED_VALUE"""),1026477.0)</f>
        <v>1026477</v>
      </c>
      <c r="E168" s="5" t="s">
        <v>20</v>
      </c>
      <c r="J168" s="2" t="s">
        <v>39</v>
      </c>
      <c r="K168" s="2" t="s">
        <v>40</v>
      </c>
      <c r="L168" s="2" t="s">
        <v>50</v>
      </c>
      <c r="M168" s="5" t="s">
        <v>24</v>
      </c>
      <c r="N168" s="5" t="s">
        <v>44</v>
      </c>
      <c r="O168" s="5" t="s">
        <v>37</v>
      </c>
      <c r="S168" s="6"/>
      <c r="T168" s="6"/>
      <c r="U168" s="6"/>
      <c r="V168" s="6"/>
      <c r="W168" s="6"/>
      <c r="X168" s="6"/>
    </row>
    <row r="169">
      <c r="A169" s="1" t="str">
        <f>IFERROR(__xludf.DUMMYFUNCTION("""COMPUTED_VALUE"""),"2502-393")</f>
        <v>2502-393</v>
      </c>
      <c r="B169" s="1" t="str">
        <f>IFERROR(__xludf.DUMMYFUNCTION("""COMPUTED_VALUE"""),"Kline-Altadena-ADU-Permitting")</f>
        <v>Kline-Altadena-ADU-Permitting</v>
      </c>
      <c r="C169" s="1" t="str">
        <f>IFERROR(__xludf.DUMMYFUNCTION("""COMPUTED_VALUE"""),"A008 Submitted - Waiting on Others")</f>
        <v>A008 Submitted - Waiting on Others</v>
      </c>
      <c r="D169" s="4">
        <f>IFERROR(__xludf.DUMMYFUNCTION("""COMPUTED_VALUE"""),1024763.0)</f>
        <v>1024763</v>
      </c>
      <c r="E169" s="5" t="s">
        <v>20</v>
      </c>
      <c r="J169" s="2" t="s">
        <v>40</v>
      </c>
      <c r="K169" s="2" t="s">
        <v>32</v>
      </c>
      <c r="L169" s="2" t="s">
        <v>22</v>
      </c>
      <c r="M169" s="5" t="s">
        <v>48</v>
      </c>
      <c r="N169" s="5" t="s">
        <v>37</v>
      </c>
      <c r="O169" s="5" t="s">
        <v>37</v>
      </c>
      <c r="S169" s="6"/>
      <c r="T169" s="6"/>
      <c r="U169" s="6"/>
      <c r="V169" s="6"/>
      <c r="W169" s="6"/>
      <c r="X169" s="6"/>
    </row>
    <row r="170">
      <c r="A170" s="1" t="str">
        <f>IFERROR(__xludf.DUMMYFUNCTION("""COMPUTED_VALUE"""),"2502-392")</f>
        <v>2502-392</v>
      </c>
      <c r="B170" s="1" t="str">
        <f>IFERROR(__xludf.DUMMYFUNCTION("""COMPUTED_VALUE"""),"Hayz-Camarillo-Floor Plans")</f>
        <v>Hayz-Camarillo-Floor Plans</v>
      </c>
      <c r="C170" s="1" t="str">
        <f>IFERROR(__xludf.DUMMYFUNCTION("""COMPUTED_VALUE"""),"Approved - Construction Phase")</f>
        <v>Approved - Construction Phase</v>
      </c>
      <c r="D170" s="4">
        <f>IFERROR(__xludf.DUMMYFUNCTION("""COMPUTED_VALUE"""),1024735.0)</f>
        <v>1024735</v>
      </c>
      <c r="E170" s="5" t="s">
        <v>34</v>
      </c>
      <c r="J170" s="2" t="s">
        <v>33</v>
      </c>
      <c r="K170" s="2" t="s">
        <v>22</v>
      </c>
      <c r="L170" s="2" t="s">
        <v>50</v>
      </c>
      <c r="M170" s="5" t="s">
        <v>27</v>
      </c>
      <c r="N170" s="5" t="s">
        <v>24</v>
      </c>
      <c r="O170" s="5" t="s">
        <v>48</v>
      </c>
      <c r="S170" s="6"/>
      <c r="T170" s="6"/>
      <c r="U170" s="6"/>
      <c r="V170" s="6"/>
      <c r="W170" s="6"/>
      <c r="X170" s="6"/>
    </row>
    <row r="171">
      <c r="A171" s="1" t="str">
        <f>IFERROR(__xludf.DUMMYFUNCTION("""COMPUTED_VALUE"""),"2502-391")</f>
        <v>2502-391</v>
      </c>
      <c r="B171" s="1" t="str">
        <f>IFERROR(__xludf.DUMMYFUNCTION("""COMPUTED_VALUE"""),"Quiroz-Apple Valley-Site Plan")</f>
        <v>Quiroz-Apple Valley-Site Plan</v>
      </c>
      <c r="C171" s="1" t="str">
        <f>IFERROR(__xludf.DUMMYFUNCTION("""COMPUTED_VALUE"""),"Abandoned,Expired")</f>
        <v>Abandoned,Expired</v>
      </c>
      <c r="D171" s="4">
        <f>IFERROR(__xludf.DUMMYFUNCTION("""COMPUTED_VALUE"""),1024547.0)</f>
        <v>1024547</v>
      </c>
      <c r="E171" s="5" t="s">
        <v>20</v>
      </c>
      <c r="J171" s="2" t="s">
        <v>47</v>
      </c>
      <c r="K171" s="2" t="s">
        <v>47</v>
      </c>
      <c r="L171" s="2" t="s">
        <v>51</v>
      </c>
      <c r="M171" s="5" t="s">
        <v>48</v>
      </c>
      <c r="N171" s="5" t="s">
        <v>37</v>
      </c>
      <c r="O171" s="5" t="s">
        <v>48</v>
      </c>
      <c r="S171" s="6"/>
      <c r="T171" s="6"/>
      <c r="U171" s="6"/>
      <c r="V171" s="6"/>
      <c r="W171" s="6"/>
      <c r="X171" s="6"/>
    </row>
    <row r="172">
      <c r="A172" s="1" t="str">
        <f>IFERROR(__xludf.DUMMYFUNCTION("""COMPUTED_VALUE"""),"2502-390")</f>
        <v>2502-390</v>
      </c>
      <c r="B172" s="1" t="str">
        <f>IFERROR(__xludf.DUMMYFUNCTION("""COMPUTED_VALUE"""),"Winkler-Dana Point-Engineer of Record")</f>
        <v>Winkler-Dana Point-Engineer of Record</v>
      </c>
      <c r="C172" s="1" t="str">
        <f>IFERROR(__xludf.DUMMYFUNCTION("""COMPUTED_VALUE"""),"Completed - Sent to Client")</f>
        <v>Completed - Sent to Client</v>
      </c>
      <c r="D172" s="4">
        <f>IFERROR(__xludf.DUMMYFUNCTION("""COMPUTED_VALUE"""),1025094.0)</f>
        <v>1025094</v>
      </c>
      <c r="E172" s="5" t="s">
        <v>34</v>
      </c>
      <c r="J172" s="2" t="s">
        <v>42</v>
      </c>
      <c r="K172" s="2" t="s">
        <v>33</v>
      </c>
      <c r="L172" s="2" t="s">
        <v>22</v>
      </c>
      <c r="M172" s="5" t="s">
        <v>27</v>
      </c>
      <c r="N172" s="5" t="s">
        <v>48</v>
      </c>
      <c r="O172" s="5" t="s">
        <v>37</v>
      </c>
      <c r="S172" s="6"/>
      <c r="T172" s="6"/>
      <c r="U172" s="6"/>
      <c r="V172" s="6"/>
      <c r="W172" s="6"/>
      <c r="X172" s="6"/>
    </row>
    <row r="173">
      <c r="A173" s="1" t="str">
        <f>IFERROR(__xludf.DUMMYFUNCTION("""COMPUTED_VALUE"""),"2502-389")</f>
        <v>2502-389</v>
      </c>
      <c r="B173" s="1" t="str">
        <f>IFERROR(__xludf.DUMMYFUNCTION("""COMPUTED_VALUE"""),"Frady-Laguna Hills-ADU")</f>
        <v>Frady-Laguna Hills-ADU</v>
      </c>
      <c r="C173" s="1" t="str">
        <f>IFERROR(__xludf.DUMMYFUNCTION("""COMPUTED_VALUE"""),"Approved - Construction Phase")</f>
        <v>Approved - Construction Phase</v>
      </c>
      <c r="D173" s="4">
        <f>IFERROR(__xludf.DUMMYFUNCTION("""COMPUTED_VALUE"""),1020314.0)</f>
        <v>1020314</v>
      </c>
      <c r="E173" s="5" t="s">
        <v>34</v>
      </c>
      <c r="J173" s="2" t="s">
        <v>23</v>
      </c>
      <c r="K173" s="2" t="s">
        <v>47</v>
      </c>
      <c r="L173" s="2" t="s">
        <v>35</v>
      </c>
      <c r="M173" s="5" t="s">
        <v>44</v>
      </c>
      <c r="N173" s="5" t="s">
        <v>44</v>
      </c>
      <c r="O173" s="5" t="s">
        <v>48</v>
      </c>
      <c r="S173" s="6"/>
      <c r="T173" s="6"/>
      <c r="U173" s="6"/>
      <c r="V173" s="6"/>
      <c r="W173" s="6"/>
      <c r="X173" s="6"/>
    </row>
    <row r="174">
      <c r="A174" s="1" t="str">
        <f>IFERROR(__xludf.DUMMYFUNCTION("""COMPUTED_VALUE"""),"2502-388")</f>
        <v>2502-388</v>
      </c>
      <c r="B174" s="1" t="str">
        <f>IFERROR(__xludf.DUMMYFUNCTION("""COMPUTED_VALUE"""),"PDS-Sherman Oaks-Commercial Site Plan")</f>
        <v>PDS-Sherman Oaks-Commercial Site Plan</v>
      </c>
      <c r="C174" s="1" t="str">
        <f>IFERROR(__xludf.DUMMYFUNCTION("""COMPUTED_VALUE"""),"Approved - Construction Phase")</f>
        <v>Approved - Construction Phase</v>
      </c>
      <c r="D174" s="4">
        <f>IFERROR(__xludf.DUMMYFUNCTION("""COMPUTED_VALUE"""),1020294.0)</f>
        <v>1020294</v>
      </c>
      <c r="E174" s="5" t="s">
        <v>34</v>
      </c>
      <c r="J174" s="2" t="s">
        <v>50</v>
      </c>
      <c r="K174" s="2" t="s">
        <v>50</v>
      </c>
      <c r="L174" s="2" t="s">
        <v>43</v>
      </c>
      <c r="M174" s="5" t="s">
        <v>37</v>
      </c>
      <c r="N174" s="5" t="s">
        <v>48</v>
      </c>
      <c r="O174" s="5" t="s">
        <v>44</v>
      </c>
      <c r="S174" s="6"/>
      <c r="T174" s="6"/>
      <c r="U174" s="6"/>
      <c r="V174" s="6"/>
      <c r="W174" s="6"/>
      <c r="X174" s="6"/>
    </row>
    <row r="175">
      <c r="A175" s="1" t="str">
        <f>IFERROR(__xludf.DUMMYFUNCTION("""COMPUTED_VALUE"""),"2502-387")</f>
        <v>2502-387</v>
      </c>
      <c r="B175" s="1" t="str">
        <f>IFERROR(__xludf.DUMMYFUNCTION("""COMPUTED_VALUE"""),"Reeves-Red Rouge-Corona TI's")</f>
        <v>Reeves-Red Rouge-Corona TI's</v>
      </c>
      <c r="C175" s="1" t="str">
        <f>IFERROR(__xludf.DUMMYFUNCTION("""COMPUTED_VALUE"""),"A008.2 Architectural Comment Responses")</f>
        <v>A008.2 Architectural Comment Responses</v>
      </c>
      <c r="D175" s="4">
        <f>IFERROR(__xludf.DUMMYFUNCTION("""COMPUTED_VALUE"""),1020273.0)</f>
        <v>1020273</v>
      </c>
      <c r="E175" s="5" t="s">
        <v>34</v>
      </c>
      <c r="J175" s="2" t="s">
        <v>25</v>
      </c>
      <c r="K175" s="2" t="s">
        <v>47</v>
      </c>
      <c r="L175" s="2" t="s">
        <v>40</v>
      </c>
      <c r="M175" s="5" t="s">
        <v>48</v>
      </c>
      <c r="N175" s="5" t="s">
        <v>24</v>
      </c>
      <c r="O175" s="5" t="s">
        <v>27</v>
      </c>
      <c r="S175" s="6"/>
      <c r="T175" s="6"/>
      <c r="U175" s="6"/>
      <c r="V175" s="6"/>
      <c r="W175" s="6"/>
      <c r="X175" s="6"/>
    </row>
    <row r="176">
      <c r="A176" s="1" t="str">
        <f>IFERROR(__xludf.DUMMYFUNCTION("""COMPUTED_VALUE"""),"2502-386")</f>
        <v>2502-386</v>
      </c>
      <c r="B176" s="1" t="str">
        <f>IFERROR(__xludf.DUMMYFUNCTION("""COMPUTED_VALUE"""),"Hoff-RSM-Remodel and Addition")</f>
        <v>Hoff-RSM-Remodel and Addition</v>
      </c>
      <c r="C176" s="1" t="str">
        <f>IFERROR(__xludf.DUMMYFUNCTION("""COMPUTED_VALUE"""),"Approved - Construction Phase")</f>
        <v>Approved - Construction Phase</v>
      </c>
      <c r="D176" s="4">
        <f>IFERROR(__xludf.DUMMYFUNCTION("""COMPUTED_VALUE"""),1020019.0)</f>
        <v>1020019</v>
      </c>
      <c r="E176" s="5" t="s">
        <v>20</v>
      </c>
      <c r="J176" s="2" t="s">
        <v>43</v>
      </c>
      <c r="K176" s="2" t="s">
        <v>36</v>
      </c>
      <c r="L176" s="2" t="s">
        <v>23</v>
      </c>
      <c r="M176" s="5" t="s">
        <v>24</v>
      </c>
      <c r="N176" s="5" t="s">
        <v>24</v>
      </c>
      <c r="O176" s="5" t="s">
        <v>27</v>
      </c>
      <c r="S176" s="6"/>
      <c r="T176" s="6"/>
      <c r="U176" s="6"/>
      <c r="V176" s="6"/>
      <c r="W176" s="6"/>
      <c r="X176" s="6"/>
    </row>
    <row r="177">
      <c r="A177" s="1" t="str">
        <f>IFERROR(__xludf.DUMMYFUNCTION("""COMPUTED_VALUE"""),"2502-383")</f>
        <v>2502-383</v>
      </c>
      <c r="B177" s="1" t="str">
        <f>IFERROR(__xludf.DUMMYFUNCTION("""COMPUTED_VALUE"""),"Rouei-Pine Mtn-New SFR")</f>
        <v>Rouei-Pine Mtn-New SFR</v>
      </c>
      <c r="C177" s="1" t="str">
        <f>IFERROR(__xludf.DUMMYFUNCTION("""COMPUTED_VALUE"""),"Abandoned,Expired")</f>
        <v>Abandoned,Expired</v>
      </c>
      <c r="D177" s="4">
        <f>IFERROR(__xludf.DUMMYFUNCTION("""COMPUTED_VALUE"""),1012709.0)</f>
        <v>1012709</v>
      </c>
      <c r="E177" s="5" t="s">
        <v>34</v>
      </c>
      <c r="F177" s="2"/>
      <c r="J177" s="2" t="s">
        <v>35</v>
      </c>
      <c r="K177" s="2" t="s">
        <v>35</v>
      </c>
      <c r="L177" s="2" t="s">
        <v>25</v>
      </c>
      <c r="M177" s="5" t="s">
        <v>37</v>
      </c>
      <c r="N177" s="5" t="s">
        <v>27</v>
      </c>
      <c r="O177" s="5" t="s">
        <v>27</v>
      </c>
      <c r="S177" s="3">
        <v>46006.07042128472</v>
      </c>
      <c r="T177" s="6"/>
      <c r="U177" s="6"/>
      <c r="V177" s="3">
        <v>46005.54097949074</v>
      </c>
      <c r="W177" s="3">
        <v>46005.540968622685</v>
      </c>
      <c r="X177" s="6"/>
    </row>
    <row r="178">
      <c r="A178" s="1" t="str">
        <f>IFERROR(__xludf.DUMMYFUNCTION("""COMPUTED_VALUE"""),"2501-385")</f>
        <v>2501-385</v>
      </c>
      <c r="B178" s="1" t="str">
        <f>IFERROR(__xludf.DUMMYFUNCTION("""COMPUTED_VALUE"""),"Dewitt-Altadena-Alameda-SFR-Rebuild")</f>
        <v>Dewitt-Altadena-Alameda-SFR-Rebuild</v>
      </c>
      <c r="C178" s="1" t="str">
        <f>IFERROR(__xludf.DUMMYFUNCTION("""COMPUTED_VALUE"""),"A008.5 Structural Engineering Corrections")</f>
        <v>A008.5 Structural Engineering Corrections</v>
      </c>
      <c r="D178" s="4">
        <f>IFERROR(__xludf.DUMMYFUNCTION("""COMPUTED_VALUE"""),1017768.0)</f>
        <v>1017768</v>
      </c>
      <c r="E178" s="5" t="s">
        <v>20</v>
      </c>
      <c r="J178" s="2" t="s">
        <v>50</v>
      </c>
      <c r="K178" s="2" t="s">
        <v>32</v>
      </c>
      <c r="L178" s="2" t="s">
        <v>36</v>
      </c>
      <c r="M178" s="5" t="s">
        <v>37</v>
      </c>
      <c r="N178" s="5" t="s">
        <v>27</v>
      </c>
      <c r="O178" s="5" t="s">
        <v>27</v>
      </c>
      <c r="S178" s="6"/>
      <c r="T178" s="6"/>
      <c r="U178" s="6"/>
      <c r="V178" s="6"/>
      <c r="W178" s="6"/>
      <c r="X178" s="6"/>
    </row>
    <row r="179">
      <c r="A179" s="1" t="str">
        <f>IFERROR(__xludf.DUMMYFUNCTION("""COMPUTED_VALUE"""),"2501-384")</f>
        <v>2501-384</v>
      </c>
      <c r="B179" s="1" t="str">
        <f>IFERROR(__xludf.DUMMYFUNCTION("""COMPUTED_VALUE"""),"Dewitt-Altadena-Rubio-SFR-Rebuild")</f>
        <v>Dewitt-Altadena-Rubio-SFR-Rebuild</v>
      </c>
      <c r="C179" s="1" t="str">
        <f>IFERROR(__xludf.DUMMYFUNCTION("""COMPUTED_VALUE"""),"A008.2 Architectural Comment Responses")</f>
        <v>A008.2 Architectural Comment Responses</v>
      </c>
      <c r="D179" s="4">
        <f>IFERROR(__xludf.DUMMYFUNCTION("""COMPUTED_VALUE"""),1017812.0)</f>
        <v>1017812</v>
      </c>
      <c r="E179" s="5" t="s">
        <v>20</v>
      </c>
      <c r="J179" s="2" t="s">
        <v>50</v>
      </c>
      <c r="K179" s="2" t="s">
        <v>36</v>
      </c>
      <c r="L179" s="2" t="s">
        <v>33</v>
      </c>
      <c r="M179" s="5" t="s">
        <v>44</v>
      </c>
      <c r="N179" s="5" t="s">
        <v>48</v>
      </c>
      <c r="O179" s="5" t="s">
        <v>27</v>
      </c>
      <c r="S179" s="6"/>
      <c r="T179" s="6"/>
      <c r="U179" s="6"/>
      <c r="V179" s="6"/>
      <c r="W179" s="6"/>
      <c r="X179" s="6"/>
    </row>
    <row r="180">
      <c r="A180" s="1" t="str">
        <f>IFERROR(__xludf.DUMMYFUNCTION("""COMPUTED_VALUE"""),"2501-382")</f>
        <v>2501-382</v>
      </c>
      <c r="B180" s="1" t="str">
        <f>IFERROR(__xludf.DUMMYFUNCTION("""COMPUTED_VALUE"""),"Sharpe Altadena Fire Rebuild")</f>
        <v>Sharpe Altadena Fire Rebuild</v>
      </c>
      <c r="C180" s="1" t="str">
        <f>IFERROR(__xludf.DUMMYFUNCTION("""COMPUTED_VALUE"""),"A009 Resubmitted")</f>
        <v>A009 Resubmitted</v>
      </c>
      <c r="D180" s="4">
        <f>IFERROR(__xludf.DUMMYFUNCTION("""COMPUTED_VALUE"""),1010275.0)</f>
        <v>1010275</v>
      </c>
      <c r="E180" s="5" t="s">
        <v>34</v>
      </c>
      <c r="J180" s="2" t="s">
        <v>50</v>
      </c>
      <c r="K180" s="2" t="s">
        <v>32</v>
      </c>
      <c r="L180" s="2" t="s">
        <v>49</v>
      </c>
      <c r="M180" s="5" t="s">
        <v>37</v>
      </c>
      <c r="N180" s="5" t="s">
        <v>24</v>
      </c>
      <c r="O180" s="5" t="s">
        <v>37</v>
      </c>
      <c r="S180" s="6"/>
      <c r="T180" s="6"/>
      <c r="U180" s="6"/>
      <c r="V180" s="6"/>
      <c r="W180" s="3">
        <v>46006.070188564816</v>
      </c>
      <c r="X180" s="6"/>
    </row>
    <row r="181">
      <c r="A181" s="1" t="str">
        <f>IFERROR(__xludf.DUMMYFUNCTION("""COMPUTED_VALUE"""),"2501-381")</f>
        <v>2501-381</v>
      </c>
      <c r="B181" s="1" t="str">
        <f>IFERROR(__xludf.DUMMYFUNCTION("""COMPUTED_VALUE"""),"Nolen-Eugene-Altadena-SFR Rebuild")</f>
        <v>Nolen-Eugene-Altadena-SFR Rebuild</v>
      </c>
      <c r="C181" s="1" t="str">
        <f>IFERROR(__xludf.DUMMYFUNCTION("""COMPUTED_VALUE"""),"A009 Resubmitted")</f>
        <v>A009 Resubmitted</v>
      </c>
      <c r="D181" s="4">
        <f>IFERROR(__xludf.DUMMYFUNCTION("""COMPUTED_VALUE"""),1009421.0)</f>
        <v>1009421</v>
      </c>
      <c r="E181" s="5" t="s">
        <v>20</v>
      </c>
      <c r="J181" s="2" t="s">
        <v>26</v>
      </c>
      <c r="K181" s="2" t="s">
        <v>42</v>
      </c>
      <c r="L181" s="2" t="s">
        <v>43</v>
      </c>
      <c r="M181" s="5" t="s">
        <v>37</v>
      </c>
      <c r="N181" s="5" t="s">
        <v>24</v>
      </c>
      <c r="O181" s="5" t="s">
        <v>37</v>
      </c>
      <c r="S181" s="6"/>
      <c r="T181" s="6"/>
      <c r="U181" s="6"/>
      <c r="V181" s="6"/>
      <c r="W181" s="6"/>
      <c r="X181" s="6"/>
    </row>
    <row r="182">
      <c r="A182" s="1" t="str">
        <f>IFERROR(__xludf.DUMMYFUNCTION("""COMPUTED_VALUE"""),"2501-380")</f>
        <v>2501-380</v>
      </c>
      <c r="B182" s="1" t="str">
        <f>IFERROR(__xludf.DUMMYFUNCTION("""COMPUTED_VALUE"""),"Sturges-San Diego-Deck Permitting Plans")</f>
        <v>Sturges-San Diego-Deck Permitting Plans</v>
      </c>
      <c r="C182" s="1" t="str">
        <f>IFERROR(__xludf.DUMMYFUNCTION("""COMPUTED_VALUE"""),"Approved - Construction Phase")</f>
        <v>Approved - Construction Phase</v>
      </c>
      <c r="D182" s="4">
        <f>IFERROR(__xludf.DUMMYFUNCTION("""COMPUTED_VALUE"""),1009407.0)</f>
        <v>1009407</v>
      </c>
      <c r="E182" s="5" t="s">
        <v>20</v>
      </c>
      <c r="J182" s="2" t="s">
        <v>22</v>
      </c>
      <c r="K182" s="2" t="s">
        <v>47</v>
      </c>
      <c r="L182" s="2" t="s">
        <v>43</v>
      </c>
      <c r="M182" s="2" t="s">
        <v>37</v>
      </c>
      <c r="N182" s="5" t="s">
        <v>37</v>
      </c>
      <c r="O182" s="5" t="s">
        <v>44</v>
      </c>
      <c r="S182" s="3">
        <v>46006.757335636576</v>
      </c>
      <c r="T182" s="6"/>
      <c r="U182" s="6"/>
      <c r="V182" s="6"/>
      <c r="W182" s="6"/>
      <c r="X182" s="6"/>
    </row>
    <row r="183">
      <c r="A183" s="1" t="str">
        <f>IFERROR(__xludf.DUMMYFUNCTION("""COMPUTED_VALUE"""),"2501-379")</f>
        <v>2501-379</v>
      </c>
      <c r="B183" s="1" t="str">
        <f>IFERROR(__xludf.DUMMYFUNCTION("""COMPUTED_VALUE"""),"PDS-Dagher-Altadena-SFR Rebuild")</f>
        <v>PDS-Dagher-Altadena-SFR Rebuild</v>
      </c>
      <c r="C183" s="1" t="str">
        <f>IFERROR(__xludf.DUMMYFUNCTION("""COMPUTED_VALUE"""),"A008.5 Structural Engineering Corrections")</f>
        <v>A008.5 Structural Engineering Corrections</v>
      </c>
      <c r="D183" s="4">
        <f>IFERROR(__xludf.DUMMYFUNCTION("""COMPUTED_VALUE"""),1009400.0)</f>
        <v>1009400</v>
      </c>
      <c r="E183" s="5" t="s">
        <v>34</v>
      </c>
      <c r="J183" s="2" t="s">
        <v>32</v>
      </c>
      <c r="K183" s="2" t="s">
        <v>50</v>
      </c>
      <c r="L183" s="2" t="s">
        <v>36</v>
      </c>
      <c r="M183" s="5" t="s">
        <v>48</v>
      </c>
      <c r="N183" s="5" t="s">
        <v>48</v>
      </c>
      <c r="O183" s="5" t="s">
        <v>24</v>
      </c>
      <c r="S183" s="6"/>
      <c r="T183" s="6"/>
      <c r="U183" s="6"/>
      <c r="V183" s="6"/>
      <c r="W183" s="6"/>
      <c r="X183" s="6"/>
    </row>
    <row r="184">
      <c r="A184" s="1" t="str">
        <f>IFERROR(__xludf.DUMMYFUNCTION("""COMPUTED_VALUE"""),"2501-378")</f>
        <v>2501-378</v>
      </c>
      <c r="B184" s="1" t="str">
        <f>IFERROR(__xludf.DUMMYFUNCTION("""COMPUTED_VALUE"""),"Tourtellotte-LA-FROG")</f>
        <v>Tourtellotte-LA-FROG</v>
      </c>
      <c r="C184" s="1" t="str">
        <f>IFERROR(__xludf.DUMMYFUNCTION("""COMPUTED_VALUE"""),"Approved - Construction Phase")</f>
        <v>Approved - Construction Phase</v>
      </c>
      <c r="D184" s="4">
        <f>IFERROR(__xludf.DUMMYFUNCTION("""COMPUTED_VALUE"""),1008137.0)</f>
        <v>1008137</v>
      </c>
      <c r="E184" s="5" t="s">
        <v>34</v>
      </c>
      <c r="J184" s="2" t="s">
        <v>36</v>
      </c>
      <c r="K184" s="2" t="s">
        <v>25</v>
      </c>
      <c r="L184" s="2" t="s">
        <v>32</v>
      </c>
      <c r="M184" s="5" t="s">
        <v>44</v>
      </c>
      <c r="N184" s="5" t="s">
        <v>44</v>
      </c>
      <c r="O184" s="5" t="s">
        <v>27</v>
      </c>
      <c r="S184" s="6"/>
      <c r="T184" s="6"/>
      <c r="U184" s="6"/>
      <c r="V184" s="6"/>
      <c r="W184" s="6"/>
      <c r="X184" s="6"/>
    </row>
    <row r="185">
      <c r="A185" s="1" t="str">
        <f>IFERROR(__xludf.DUMMYFUNCTION("""COMPUTED_VALUE"""),"2501-377")</f>
        <v>2501-377</v>
      </c>
      <c r="B185" s="1" t="str">
        <f>IFERROR(__xludf.DUMMYFUNCTION("""COMPUTED_VALUE"""),"PDS-Thomas-Altadena-SFR Rebuild")</f>
        <v>PDS-Thomas-Altadena-SFR Rebuild</v>
      </c>
      <c r="C185" s="1" t="str">
        <f>IFERROR(__xludf.DUMMYFUNCTION("""COMPUTED_VALUE"""),"Approved - Construction Phase")</f>
        <v>Approved - Construction Phase</v>
      </c>
      <c r="D185" s="4">
        <f>IFERROR(__xludf.DUMMYFUNCTION("""COMPUTED_VALUE"""),1006952.0)</f>
        <v>1006952</v>
      </c>
      <c r="E185" s="5" t="s">
        <v>34</v>
      </c>
      <c r="J185" s="2" t="s">
        <v>43</v>
      </c>
      <c r="K185" s="2" t="s">
        <v>22</v>
      </c>
      <c r="L185" s="2" t="s">
        <v>42</v>
      </c>
      <c r="M185" s="5" t="s">
        <v>37</v>
      </c>
      <c r="N185" s="2" t="s">
        <v>37</v>
      </c>
      <c r="O185" s="5" t="s">
        <v>24</v>
      </c>
      <c r="S185" s="6"/>
      <c r="T185" s="3">
        <v>46006.390657615746</v>
      </c>
      <c r="U185" s="6"/>
      <c r="V185" s="6"/>
      <c r="W185" s="6"/>
      <c r="X185" s="6"/>
    </row>
    <row r="186">
      <c r="A186" s="1" t="str">
        <f>IFERROR(__xludf.DUMMYFUNCTION("""COMPUTED_VALUE"""),"2501-376")</f>
        <v>2501-376</v>
      </c>
      <c r="B186" s="1" t="str">
        <f>IFERROR(__xludf.DUMMYFUNCTION("""COMPUTED_VALUE"""),"White-Santa Barbara-Garage ADU")</f>
        <v>White-Santa Barbara-Garage ADU</v>
      </c>
      <c r="C186" s="1" t="str">
        <f>IFERROR(__xludf.DUMMYFUNCTION("""COMPUTED_VALUE"""),"Approved - Construction Phase")</f>
        <v>Approved - Construction Phase</v>
      </c>
      <c r="D186" s="4">
        <f>IFERROR(__xludf.DUMMYFUNCTION("""COMPUTED_VALUE"""),1008160.0)</f>
        <v>1008160</v>
      </c>
      <c r="E186" s="5" t="s">
        <v>20</v>
      </c>
      <c r="J186" s="2" t="s">
        <v>47</v>
      </c>
      <c r="K186" s="2" t="s">
        <v>40</v>
      </c>
      <c r="L186" s="2" t="s">
        <v>26</v>
      </c>
      <c r="M186" s="5" t="s">
        <v>24</v>
      </c>
      <c r="N186" s="5" t="s">
        <v>48</v>
      </c>
      <c r="O186" s="5" t="s">
        <v>44</v>
      </c>
      <c r="S186" s="6"/>
      <c r="T186" s="6"/>
      <c r="U186" s="6"/>
      <c r="V186" s="6"/>
      <c r="W186" s="6"/>
      <c r="X186" s="6"/>
    </row>
    <row r="187">
      <c r="A187" s="1" t="str">
        <f>IFERROR(__xludf.DUMMYFUNCTION("""COMPUTED_VALUE"""),"2501-375")</f>
        <v>2501-375</v>
      </c>
      <c r="B187" s="1" t="str">
        <f>IFERROR(__xludf.DUMMYFUNCTION("""COMPUTED_VALUE"""),"Munoz-Santa-Ana-Garage-ADU")</f>
        <v>Munoz-Santa-Ana-Garage-ADU</v>
      </c>
      <c r="C187" s="1" t="str">
        <f>IFERROR(__xludf.DUMMYFUNCTION("""COMPUTED_VALUE"""),"A008 Submitted - Waiting on Others")</f>
        <v>A008 Submitted - Waiting on Others</v>
      </c>
      <c r="D187" s="4">
        <f>IFERROR(__xludf.DUMMYFUNCTION("""COMPUTED_VALUE"""),1005624.0)</f>
        <v>1005624</v>
      </c>
      <c r="E187" s="5" t="s">
        <v>34</v>
      </c>
      <c r="J187" s="2" t="s">
        <v>33</v>
      </c>
      <c r="K187" s="2" t="s">
        <v>40</v>
      </c>
      <c r="L187" s="2" t="s">
        <v>47</v>
      </c>
      <c r="M187" s="5" t="s">
        <v>27</v>
      </c>
      <c r="N187" s="5" t="s">
        <v>44</v>
      </c>
      <c r="O187" s="5" t="s">
        <v>37</v>
      </c>
      <c r="S187" s="6"/>
      <c r="T187" s="6"/>
      <c r="U187" s="6"/>
      <c r="V187" s="6"/>
      <c r="W187" s="6"/>
      <c r="X187" s="6"/>
    </row>
    <row r="188">
      <c r="A188" s="1" t="str">
        <f>IFERROR(__xludf.DUMMYFUNCTION("""COMPUTED_VALUE"""),"2501-374")</f>
        <v>2501-374</v>
      </c>
      <c r="B188" s="1" t="str">
        <f>IFERROR(__xludf.DUMMYFUNCTION("""COMPUTED_VALUE"""),"Zacharias-Redondo-SFH-ADU-Remodel")</f>
        <v>Zacharias-Redondo-SFH-ADU-Remodel</v>
      </c>
      <c r="C188" s="1" t="str">
        <f>IFERROR(__xludf.DUMMYFUNCTION("""COMPUTED_VALUE"""),"A008.8 Pending Resubmittal")</f>
        <v>A008.8 Pending Resubmittal</v>
      </c>
      <c r="D188" s="4">
        <f>IFERROR(__xludf.DUMMYFUNCTION("""COMPUTED_VALUE"""),1005612.0)</f>
        <v>1005612</v>
      </c>
      <c r="E188" s="5" t="s">
        <v>34</v>
      </c>
      <c r="J188" s="2" t="s">
        <v>32</v>
      </c>
      <c r="K188" s="2" t="s">
        <v>49</v>
      </c>
      <c r="L188" s="2" t="s">
        <v>51</v>
      </c>
      <c r="M188" s="5" t="s">
        <v>27</v>
      </c>
      <c r="N188" s="5" t="s">
        <v>48</v>
      </c>
      <c r="O188" s="5" t="s">
        <v>48</v>
      </c>
      <c r="S188" s="6"/>
      <c r="T188" s="6"/>
      <c r="U188" s="6"/>
      <c r="V188" s="6"/>
      <c r="W188" s="6"/>
      <c r="X188" s="6"/>
    </row>
    <row r="189">
      <c r="A189" s="1" t="str">
        <f>IFERROR(__xludf.DUMMYFUNCTION("""COMPUTED_VALUE"""),"2501-373")</f>
        <v>2501-373</v>
      </c>
      <c r="B189" s="1" t="str">
        <f>IFERROR(__xludf.DUMMYFUNCTION("""COMPUTED_VALUE"""),"Sadraei-Stallion Springs-New SFR")</f>
        <v>Sadraei-Stallion Springs-New SFR</v>
      </c>
      <c r="C189" s="1" t="str">
        <f>IFERROR(__xludf.DUMMYFUNCTION("""COMPUTED_VALUE"""),"A008 Submitted - Waiting on Others")</f>
        <v>A008 Submitted - Waiting on Others</v>
      </c>
      <c r="D189" s="4">
        <f>IFERROR(__xludf.DUMMYFUNCTION("""COMPUTED_VALUE"""),1009189.0)</f>
        <v>1009189</v>
      </c>
      <c r="E189" s="5" t="s">
        <v>20</v>
      </c>
      <c r="J189" s="2" t="s">
        <v>35</v>
      </c>
      <c r="K189" s="2" t="s">
        <v>50</v>
      </c>
      <c r="L189" s="2" t="s">
        <v>50</v>
      </c>
      <c r="M189" s="5" t="s">
        <v>27</v>
      </c>
      <c r="N189" s="5" t="s">
        <v>37</v>
      </c>
      <c r="O189" s="5" t="s">
        <v>48</v>
      </c>
      <c r="S189" s="6"/>
      <c r="T189" s="6"/>
      <c r="U189" s="6"/>
      <c r="V189" s="6"/>
      <c r="W189" s="6"/>
      <c r="X189" s="6"/>
    </row>
    <row r="190">
      <c r="A190" s="1" t="str">
        <f>IFERROR(__xludf.DUMMYFUNCTION("""COMPUTED_VALUE"""),"2501-371")</f>
        <v>2501-371</v>
      </c>
      <c r="B190" s="1" t="str">
        <f>IFERROR(__xludf.DUMMYFUNCTION("""COMPUTED_VALUE"""),"Schwartz-West Hills-Design")</f>
        <v>Schwartz-West Hills-Design</v>
      </c>
      <c r="C190" s="1" t="str">
        <f>IFERROR(__xludf.DUMMYFUNCTION("""COMPUTED_VALUE"""),"Abandoned,Expired")</f>
        <v>Abandoned,Expired</v>
      </c>
      <c r="D190" s="4">
        <f>IFERROR(__xludf.DUMMYFUNCTION("""COMPUTED_VALUE"""),1008289.0)</f>
        <v>1008289</v>
      </c>
      <c r="E190" s="5" t="s">
        <v>34</v>
      </c>
      <c r="J190" s="2" t="s">
        <v>50</v>
      </c>
      <c r="K190" s="2" t="s">
        <v>43</v>
      </c>
      <c r="L190" s="2" t="s">
        <v>51</v>
      </c>
      <c r="M190" s="5" t="s">
        <v>27</v>
      </c>
      <c r="N190" s="5" t="s">
        <v>24</v>
      </c>
      <c r="O190" s="5" t="s">
        <v>24</v>
      </c>
      <c r="S190" s="6"/>
      <c r="T190" s="6"/>
      <c r="U190" s="6"/>
      <c r="V190" s="6"/>
      <c r="W190" s="6"/>
      <c r="X190" s="6"/>
    </row>
    <row r="191">
      <c r="A191" s="1" t="str">
        <f>IFERROR(__xludf.DUMMYFUNCTION("""COMPUTED_VALUE"""),"2501-370")</f>
        <v>2501-370</v>
      </c>
      <c r="B191" s="1" t="str">
        <f>IFERROR(__xludf.DUMMYFUNCTION("""COMPUTED_VALUE"""),"Snow Forest Inn Big Bear Remodel")</f>
        <v>Snow Forest Inn Big Bear Remodel</v>
      </c>
      <c r="C191" s="1" t="str">
        <f>IFERROR(__xludf.DUMMYFUNCTION("""COMPUTED_VALUE"""),"Completed - Sent to Client")</f>
        <v>Completed - Sent to Client</v>
      </c>
      <c r="D191" s="4">
        <f>IFERROR(__xludf.DUMMYFUNCTION("""COMPUTED_VALUE"""),875517.0)</f>
        <v>875517</v>
      </c>
      <c r="E191" s="5" t="s">
        <v>20</v>
      </c>
      <c r="J191" s="2" t="s">
        <v>35</v>
      </c>
      <c r="K191" s="2" t="s">
        <v>43</v>
      </c>
      <c r="L191" s="2" t="s">
        <v>32</v>
      </c>
      <c r="M191" s="5" t="s">
        <v>37</v>
      </c>
      <c r="N191" s="5" t="s">
        <v>24</v>
      </c>
      <c r="O191" s="5" t="s">
        <v>24</v>
      </c>
      <c r="S191" s="6"/>
      <c r="T191" s="6"/>
      <c r="U191" s="6"/>
      <c r="V191" s="6"/>
      <c r="W191" s="6"/>
      <c r="X191" s="6"/>
    </row>
    <row r="192">
      <c r="A192" s="1" t="str">
        <f>IFERROR(__xludf.DUMMYFUNCTION("""COMPUTED_VALUE"""),"2501-369")</f>
        <v>2501-369</v>
      </c>
      <c r="B192" s="1" t="str">
        <f>IFERROR(__xludf.DUMMYFUNCTION("""COMPUTED_VALUE"""),"Francati-NoHo-SFH-Full-Rehab")</f>
        <v>Francati-NoHo-SFH-Full-Rehab</v>
      </c>
      <c r="C192" s="1" t="str">
        <f>IFERROR(__xludf.DUMMYFUNCTION("""COMPUTED_VALUE"""),"A008.5 Structural Engineering Corrections")</f>
        <v>A008.5 Structural Engineering Corrections</v>
      </c>
      <c r="D192" s="4">
        <f>IFERROR(__xludf.DUMMYFUNCTION("""COMPUTED_VALUE"""),999777.0)</f>
        <v>999777</v>
      </c>
      <c r="E192" s="5" t="s">
        <v>34</v>
      </c>
      <c r="J192" s="2" t="s">
        <v>43</v>
      </c>
      <c r="K192" s="2" t="s">
        <v>25</v>
      </c>
      <c r="L192" s="2" t="s">
        <v>23</v>
      </c>
      <c r="M192" s="5" t="s">
        <v>48</v>
      </c>
      <c r="N192" s="5" t="s">
        <v>48</v>
      </c>
      <c r="O192" s="5" t="s">
        <v>48</v>
      </c>
      <c r="S192" s="6"/>
      <c r="T192" s="6"/>
      <c r="U192" s="6"/>
      <c r="V192" s="6"/>
      <c r="W192" s="6"/>
      <c r="X192" s="6"/>
    </row>
    <row r="193">
      <c r="A193" s="1" t="str">
        <f>IFERROR(__xludf.DUMMYFUNCTION("""COMPUTED_VALUE"""),"2501-368")</f>
        <v>2501-368</v>
      </c>
      <c r="B193" s="1" t="str">
        <f>IFERROR(__xludf.DUMMYFUNCTION("""COMPUTED_VALUE"""),"Strath-Euclid-LA Remodel")</f>
        <v>Strath-Euclid-LA Remodel</v>
      </c>
      <c r="C193" s="1" t="str">
        <f>IFERROR(__xludf.DUMMYFUNCTION("""COMPUTED_VALUE"""),"A007.8 Pending Submittal")</f>
        <v>A007.8 Pending Submittal</v>
      </c>
      <c r="D193" s="4">
        <f>IFERROR(__xludf.DUMMYFUNCTION("""COMPUTED_VALUE"""),996843.0)</f>
        <v>996843</v>
      </c>
      <c r="E193" s="5" t="s">
        <v>34</v>
      </c>
      <c r="J193" s="2" t="s">
        <v>22</v>
      </c>
      <c r="K193" s="2" t="s">
        <v>23</v>
      </c>
      <c r="L193" s="2" t="s">
        <v>47</v>
      </c>
      <c r="M193" s="2" t="s">
        <v>24</v>
      </c>
      <c r="N193" s="5" t="s">
        <v>37</v>
      </c>
      <c r="O193" s="5" t="s">
        <v>27</v>
      </c>
      <c r="S193" s="3">
        <v>46006.39112076389</v>
      </c>
      <c r="T193" s="6"/>
      <c r="U193" s="6"/>
      <c r="V193" s="6"/>
      <c r="W193" s="6"/>
      <c r="X193" s="6"/>
    </row>
    <row r="194">
      <c r="A194" s="1" t="str">
        <f>IFERROR(__xludf.DUMMYFUNCTION("""COMPUTED_VALUE"""),"2501-367")</f>
        <v>2501-367</v>
      </c>
      <c r="B194" s="1" t="str">
        <f>IFERROR(__xludf.DUMMYFUNCTION("""COMPUTED_VALUE"""),"Strath-Palisades-Remodel-Expansion")</f>
        <v>Strath-Palisades-Remodel-Expansion</v>
      </c>
      <c r="C194" s="1" t="str">
        <f>IFERROR(__xludf.DUMMYFUNCTION("""COMPUTED_VALUE"""),"A003.1 Client Review - Waiting on Others")</f>
        <v>A003.1 Client Review - Waiting on Others</v>
      </c>
      <c r="D194" s="4">
        <f>IFERROR(__xludf.DUMMYFUNCTION("""COMPUTED_VALUE"""),995750.0)</f>
        <v>995750</v>
      </c>
      <c r="E194" s="5" t="s">
        <v>34</v>
      </c>
      <c r="J194" s="2" t="s">
        <v>47</v>
      </c>
      <c r="K194" s="2" t="s">
        <v>40</v>
      </c>
      <c r="L194" s="2" t="s">
        <v>32</v>
      </c>
      <c r="M194" s="5" t="s">
        <v>37</v>
      </c>
      <c r="N194" s="5" t="s">
        <v>44</v>
      </c>
      <c r="O194" s="5" t="s">
        <v>44</v>
      </c>
      <c r="S194" s="6"/>
      <c r="T194" s="6"/>
      <c r="U194" s="6"/>
      <c r="V194" s="6"/>
      <c r="W194" s="6"/>
      <c r="X194" s="6"/>
    </row>
    <row r="195">
      <c r="A195" s="1" t="str">
        <f>IFERROR(__xludf.DUMMYFUNCTION("""COMPUTED_VALUE"""),"2501-366")</f>
        <v>2501-366</v>
      </c>
      <c r="B195" s="1" t="str">
        <f>IFERROR(__xludf.DUMMYFUNCTION("""COMPUTED_VALUE"""),"Gallegos-Santa Ana-Detached ADU")</f>
        <v>Gallegos-Santa Ana-Detached ADU</v>
      </c>
      <c r="C195" s="1" t="str">
        <f>IFERROR(__xludf.DUMMYFUNCTION("""COMPUTED_VALUE"""),"A007.8 Pending Submittal")</f>
        <v>A007.8 Pending Submittal</v>
      </c>
      <c r="D195" s="4">
        <f>IFERROR(__xludf.DUMMYFUNCTION("""COMPUTED_VALUE"""),995257.0)</f>
        <v>995257</v>
      </c>
      <c r="E195" s="5" t="s">
        <v>20</v>
      </c>
      <c r="J195" s="2" t="s">
        <v>22</v>
      </c>
      <c r="K195" s="2" t="s">
        <v>51</v>
      </c>
      <c r="L195" s="2" t="s">
        <v>51</v>
      </c>
      <c r="M195" s="5" t="s">
        <v>37</v>
      </c>
      <c r="N195" s="5" t="s">
        <v>48</v>
      </c>
      <c r="O195" s="5" t="s">
        <v>37</v>
      </c>
      <c r="S195" s="6"/>
      <c r="T195" s="6"/>
      <c r="U195" s="6"/>
      <c r="V195" s="6"/>
      <c r="W195" s="6"/>
      <c r="X195" s="6"/>
    </row>
    <row r="196">
      <c r="A196" s="1" t="str">
        <f>IFERROR(__xludf.DUMMYFUNCTION("""COMPUTED_VALUE"""),"2501-365")</f>
        <v>2501-365</v>
      </c>
      <c r="B196" s="1" t="str">
        <f>IFERROR(__xludf.DUMMYFUNCTION("""COMPUTED_VALUE"""),"Gagne-SD-Retaining Wall")</f>
        <v>Gagne-SD-Retaining Wall</v>
      </c>
      <c r="C196" s="1" t="str">
        <f>IFERROR(__xludf.DUMMYFUNCTION("""COMPUTED_VALUE"""),"A009 Resubmitted")</f>
        <v>A009 Resubmitted</v>
      </c>
      <c r="D196" s="4">
        <f>IFERROR(__xludf.DUMMYFUNCTION("""COMPUTED_VALUE"""),995254.0)</f>
        <v>995254</v>
      </c>
      <c r="E196" s="5" t="s">
        <v>20</v>
      </c>
      <c r="J196" s="2" t="s">
        <v>39</v>
      </c>
      <c r="K196" s="2" t="s">
        <v>42</v>
      </c>
      <c r="L196" s="2" t="s">
        <v>42</v>
      </c>
      <c r="M196" s="5" t="s">
        <v>24</v>
      </c>
      <c r="N196" s="5" t="s">
        <v>44</v>
      </c>
      <c r="O196" s="5" t="s">
        <v>44</v>
      </c>
      <c r="S196" s="6"/>
      <c r="T196" s="6"/>
      <c r="U196" s="3">
        <v>46005.19793458333</v>
      </c>
      <c r="V196" s="6"/>
      <c r="W196" s="6"/>
      <c r="X196" s="6"/>
    </row>
    <row r="197">
      <c r="A197" s="1" t="str">
        <f>IFERROR(__xludf.DUMMYFUNCTION("""COMPUTED_VALUE"""),"2501-364")</f>
        <v>2501-364</v>
      </c>
      <c r="B197" s="1" t="str">
        <f>IFERROR(__xludf.DUMMYFUNCTION("""COMPUTED_VALUE"""),"Cole-Riverside-Site Plan")</f>
        <v>Cole-Riverside-Site Plan</v>
      </c>
      <c r="C197" s="1" t="str">
        <f>IFERROR(__xludf.DUMMYFUNCTION("""COMPUTED_VALUE"""),"Completed - Sent to Client")</f>
        <v>Completed - Sent to Client</v>
      </c>
      <c r="D197" s="4">
        <f>IFERROR(__xludf.DUMMYFUNCTION("""COMPUTED_VALUE"""),996818.0)</f>
        <v>996818</v>
      </c>
      <c r="E197" s="5" t="s">
        <v>34</v>
      </c>
      <c r="J197" s="2" t="s">
        <v>43</v>
      </c>
      <c r="K197" s="2" t="s">
        <v>26</v>
      </c>
      <c r="L197" s="2" t="s">
        <v>50</v>
      </c>
      <c r="M197" s="5" t="s">
        <v>27</v>
      </c>
      <c r="N197" s="5" t="s">
        <v>44</v>
      </c>
      <c r="O197" s="5" t="s">
        <v>27</v>
      </c>
      <c r="S197" s="6"/>
      <c r="T197" s="6"/>
      <c r="U197" s="6"/>
      <c r="V197" s="6"/>
      <c r="W197" s="6"/>
      <c r="X197" s="6"/>
    </row>
    <row r="198">
      <c r="A198" s="1" t="str">
        <f>IFERROR(__xludf.DUMMYFUNCTION("""COMPUTED_VALUE"""),"2412-363")</f>
        <v>2412-363</v>
      </c>
      <c r="B198" s="1" t="str">
        <f>IFERROR(__xludf.DUMMYFUNCTION("""COMPUTED_VALUE"""),"Buckner - Gardena - Floor Plan")</f>
        <v>Buckner - Gardena - Floor Plan</v>
      </c>
      <c r="C198" s="1" t="str">
        <f>IFERROR(__xludf.DUMMYFUNCTION("""COMPUTED_VALUE"""),"Approved - Construction Phase")</f>
        <v>Approved - Construction Phase</v>
      </c>
      <c r="D198" s="4">
        <f>IFERROR(__xludf.DUMMYFUNCTION("""COMPUTED_VALUE"""),979105.0)</f>
        <v>979105</v>
      </c>
      <c r="E198" s="5" t="s">
        <v>34</v>
      </c>
      <c r="J198" s="2" t="s">
        <v>26</v>
      </c>
      <c r="K198" s="2" t="s">
        <v>22</v>
      </c>
      <c r="L198" s="2" t="s">
        <v>40</v>
      </c>
      <c r="M198" s="5" t="s">
        <v>48</v>
      </c>
      <c r="N198" s="2" t="s">
        <v>37</v>
      </c>
      <c r="O198" s="5" t="s">
        <v>37</v>
      </c>
      <c r="S198" s="6"/>
      <c r="T198" s="3">
        <v>46006.39047737268</v>
      </c>
      <c r="U198" s="6"/>
      <c r="V198" s="6"/>
      <c r="W198" s="6"/>
      <c r="X198" s="6"/>
    </row>
    <row r="199">
      <c r="A199" s="1" t="str">
        <f>IFERROR(__xludf.DUMMYFUNCTION("""COMPUTED_VALUE"""),"2412-362")</f>
        <v>2412-362</v>
      </c>
      <c r="B199" s="1" t="str">
        <f>IFERROR(__xludf.DUMMYFUNCTION("""COMPUTED_VALUE"""),"Silverthorn - Wildomar - ADU")</f>
        <v>Silverthorn - Wildomar - ADU</v>
      </c>
      <c r="C199" s="1" t="str">
        <f>IFERROR(__xludf.DUMMYFUNCTION("""COMPUTED_VALUE"""),"A008 Submitted - Waiting on Others")</f>
        <v>A008 Submitted - Waiting on Others</v>
      </c>
      <c r="D199" s="4">
        <f>IFERROR(__xludf.DUMMYFUNCTION("""COMPUTED_VALUE"""),974096.0)</f>
        <v>974096</v>
      </c>
      <c r="E199" s="5" t="s">
        <v>34</v>
      </c>
      <c r="J199" s="2" t="s">
        <v>43</v>
      </c>
      <c r="K199" s="2" t="s">
        <v>39</v>
      </c>
      <c r="L199" s="2" t="s">
        <v>50</v>
      </c>
      <c r="M199" s="5" t="s">
        <v>44</v>
      </c>
      <c r="N199" s="5" t="s">
        <v>37</v>
      </c>
      <c r="O199" s="5" t="s">
        <v>44</v>
      </c>
      <c r="S199" s="6"/>
      <c r="T199" s="6"/>
      <c r="U199" s="6"/>
      <c r="V199" s="6"/>
      <c r="W199" s="6"/>
      <c r="X199" s="6"/>
    </row>
    <row r="200">
      <c r="A200" s="1" t="str">
        <f>IFERROR(__xludf.DUMMYFUNCTION("""COMPUTED_VALUE"""),"2412-361")</f>
        <v>2412-361</v>
      </c>
      <c r="B200" s="1" t="str">
        <f>IFERROR(__xludf.DUMMYFUNCTION("""COMPUTED_VALUE"""),"Burns-Huntington-JADU")</f>
        <v>Burns-Huntington-JADU</v>
      </c>
      <c r="C200" s="1" t="str">
        <f>IFERROR(__xludf.DUMMYFUNCTION("""COMPUTED_VALUE"""),"A008.8 Pending Resubmittal")</f>
        <v>A008.8 Pending Resubmittal</v>
      </c>
      <c r="D200" s="4">
        <f>IFERROR(__xludf.DUMMYFUNCTION("""COMPUTED_VALUE"""),973246.0)</f>
        <v>973246</v>
      </c>
      <c r="E200" s="5" t="s">
        <v>34</v>
      </c>
      <c r="J200" s="2" t="s">
        <v>43</v>
      </c>
      <c r="K200" s="2" t="s">
        <v>42</v>
      </c>
      <c r="L200" s="2" t="s">
        <v>22</v>
      </c>
      <c r="M200" s="5" t="s">
        <v>37</v>
      </c>
      <c r="N200" s="5" t="s">
        <v>24</v>
      </c>
      <c r="O200" s="2" t="s">
        <v>24</v>
      </c>
      <c r="S200" s="6"/>
      <c r="T200" s="6"/>
      <c r="U200" s="3">
        <v>46007.012668379626</v>
      </c>
      <c r="V200" s="6"/>
      <c r="W200" s="6"/>
      <c r="X200" s="6"/>
    </row>
    <row r="201">
      <c r="A201" s="1" t="str">
        <f>IFERROR(__xludf.DUMMYFUNCTION("""COMPUTED_VALUE"""),"2412-360")</f>
        <v>2412-360</v>
      </c>
      <c r="B201" s="1" t="str">
        <f>IFERROR(__xludf.DUMMYFUNCTION("""COMPUTED_VALUE"""),"Johnston-SD-ADU")</f>
        <v>Johnston-SD-ADU</v>
      </c>
      <c r="C201" s="1" t="str">
        <f>IFERROR(__xludf.DUMMYFUNCTION("""COMPUTED_VALUE"""),"Approved - Construction Phase")</f>
        <v>Approved - Construction Phase</v>
      </c>
      <c r="D201" s="4">
        <f>IFERROR(__xludf.DUMMYFUNCTION("""COMPUTED_VALUE"""),973248.0)</f>
        <v>973248</v>
      </c>
      <c r="E201" s="5" t="s">
        <v>34</v>
      </c>
      <c r="J201" s="2" t="s">
        <v>23</v>
      </c>
      <c r="K201" s="2" t="s">
        <v>51</v>
      </c>
      <c r="L201" s="2" t="s">
        <v>26</v>
      </c>
      <c r="M201" s="5" t="s">
        <v>48</v>
      </c>
      <c r="N201" s="5" t="s">
        <v>27</v>
      </c>
      <c r="O201" s="5" t="s">
        <v>37</v>
      </c>
      <c r="S201" s="6"/>
      <c r="T201" s="6"/>
      <c r="U201" s="6"/>
      <c r="V201" s="6"/>
      <c r="W201" s="6"/>
      <c r="X201" s="6"/>
    </row>
    <row r="202">
      <c r="A202" s="1" t="str">
        <f>IFERROR(__xludf.DUMMYFUNCTION("""COMPUTED_VALUE"""),"2412-359")</f>
        <v>2412-359</v>
      </c>
      <c r="B202" s="1" t="str">
        <f>IFERROR(__xludf.DUMMYFUNCTION("""COMPUTED_VALUE"""),"Candelaria-Oceanside-Detached-ADU")</f>
        <v>Candelaria-Oceanside-Detached-ADU</v>
      </c>
      <c r="C202" s="1" t="str">
        <f>IFERROR(__xludf.DUMMYFUNCTION("""COMPUTED_VALUE"""),"A008.2 Architectural Comment Responses")</f>
        <v>A008.2 Architectural Comment Responses</v>
      </c>
      <c r="D202" s="4">
        <f>IFERROR(__xludf.DUMMYFUNCTION("""COMPUTED_VALUE"""),973247.0)</f>
        <v>973247</v>
      </c>
      <c r="E202" s="5" t="s">
        <v>20</v>
      </c>
      <c r="J202" s="2" t="s">
        <v>23</v>
      </c>
      <c r="K202" s="2" t="s">
        <v>42</v>
      </c>
      <c r="L202" s="2" t="s">
        <v>26</v>
      </c>
      <c r="M202" s="5" t="s">
        <v>48</v>
      </c>
      <c r="N202" s="5" t="s">
        <v>27</v>
      </c>
      <c r="O202" s="5" t="s">
        <v>48</v>
      </c>
      <c r="S202" s="6"/>
      <c r="T202" s="6"/>
      <c r="U202" s="6"/>
      <c r="V202" s="6"/>
      <c r="W202" s="6"/>
      <c r="X202" s="6"/>
    </row>
    <row r="203">
      <c r="A203" s="1" t="str">
        <f>IFERROR(__xludf.DUMMYFUNCTION("""COMPUTED_VALUE"""),"2412-358")</f>
        <v>2412-358</v>
      </c>
      <c r="B203" s="1" t="str">
        <f>IFERROR(__xludf.DUMMYFUNCTION("""COMPUTED_VALUE"""),"Beacon-Housing-LA-ADU")</f>
        <v>Beacon-Housing-LA-ADU</v>
      </c>
      <c r="C203" s="1" t="str">
        <f>IFERROR(__xludf.DUMMYFUNCTION("""COMPUTED_VALUE"""),"Approved - Construction Phase")</f>
        <v>Approved - Construction Phase</v>
      </c>
      <c r="D203" s="4">
        <f>IFERROR(__xludf.DUMMYFUNCTION("""COMPUTED_VALUE"""),965686.0)</f>
        <v>965686</v>
      </c>
      <c r="E203" s="5" t="s">
        <v>20</v>
      </c>
      <c r="J203" s="2" t="s">
        <v>42</v>
      </c>
      <c r="K203" s="2" t="s">
        <v>39</v>
      </c>
      <c r="L203" s="2" t="s">
        <v>50</v>
      </c>
      <c r="M203" s="5" t="s">
        <v>27</v>
      </c>
      <c r="N203" s="5" t="s">
        <v>44</v>
      </c>
      <c r="O203" s="5" t="s">
        <v>48</v>
      </c>
      <c r="S203" s="6"/>
      <c r="T203" s="6"/>
      <c r="U203" s="6"/>
      <c r="V203" s="6"/>
      <c r="W203" s="6"/>
      <c r="X203" s="6"/>
    </row>
    <row r="204">
      <c r="A204" s="1" t="str">
        <f>IFERROR(__xludf.DUMMYFUNCTION("""COMPUTED_VALUE"""),"2411-357")</f>
        <v>2411-357</v>
      </c>
      <c r="B204" s="1" t="str">
        <f>IFERROR(__xludf.DUMMYFUNCTION("""COMPUTED_VALUE"""),"EXP-Nationalcity-Smoke-Shop-TI-Plans")</f>
        <v>EXP-Nationalcity-Smoke-Shop-TI-Plans</v>
      </c>
      <c r="C204" s="1" t="str">
        <f>IFERROR(__xludf.DUMMYFUNCTION("""COMPUTED_VALUE"""),"Approved - Construction Phase")</f>
        <v>Approved - Construction Phase</v>
      </c>
      <c r="D204" s="4">
        <f>IFERROR(__xludf.DUMMYFUNCTION("""COMPUTED_VALUE"""),965670.0)</f>
        <v>965670</v>
      </c>
      <c r="E204" s="5" t="s">
        <v>34</v>
      </c>
      <c r="F204" s="2"/>
      <c r="J204" s="2" t="s">
        <v>33</v>
      </c>
      <c r="K204" s="2" t="s">
        <v>43</v>
      </c>
      <c r="L204" s="2" t="s">
        <v>23</v>
      </c>
      <c r="M204" s="5" t="s">
        <v>48</v>
      </c>
      <c r="N204" s="5" t="s">
        <v>24</v>
      </c>
      <c r="O204" s="5" t="s">
        <v>37</v>
      </c>
      <c r="S204" s="3">
        <v>46006.019022754626</v>
      </c>
      <c r="T204" s="6"/>
      <c r="U204" s="6"/>
      <c r="V204" s="3">
        <v>46005.564625046296</v>
      </c>
      <c r="W204" s="3">
        <v>46005.49827186343</v>
      </c>
      <c r="X204" s="6"/>
    </row>
    <row r="205">
      <c r="A205" s="1" t="str">
        <f>IFERROR(__xludf.DUMMYFUNCTION("""COMPUTED_VALUE"""),"2411-356")</f>
        <v>2411-356</v>
      </c>
      <c r="B205" s="1" t="str">
        <f>IFERROR(__xludf.DUMMYFUNCTION("""COMPUTED_VALUE"""),"Mazmanyan-Pine-Mountain-Club-Basement")</f>
        <v>Mazmanyan-Pine-Mountain-Club-Basement</v>
      </c>
      <c r="C205" s="1" t="str">
        <f>IFERROR(__xludf.DUMMYFUNCTION("""COMPUTED_VALUE"""),"A009 Resubmitted")</f>
        <v>A009 Resubmitted</v>
      </c>
      <c r="D205" s="4">
        <f>IFERROR(__xludf.DUMMYFUNCTION("""COMPUTED_VALUE"""),965460.0)</f>
        <v>965460</v>
      </c>
      <c r="E205" s="5" t="s">
        <v>34</v>
      </c>
      <c r="F205" s="2"/>
      <c r="J205" s="2" t="s">
        <v>50</v>
      </c>
      <c r="K205" s="2" t="s">
        <v>40</v>
      </c>
      <c r="L205" s="2" t="s">
        <v>51</v>
      </c>
      <c r="M205" s="5" t="s">
        <v>27</v>
      </c>
      <c r="N205" s="5" t="s">
        <v>24</v>
      </c>
      <c r="O205" s="5" t="s">
        <v>27</v>
      </c>
      <c r="S205" s="6"/>
      <c r="T205" s="6"/>
      <c r="U205" s="6"/>
      <c r="V205" s="3">
        <v>46005.498997256946</v>
      </c>
      <c r="W205" s="3">
        <v>46005.49991136574</v>
      </c>
      <c r="X205" s="6"/>
    </row>
    <row r="206">
      <c r="A206" s="1" t="str">
        <f>IFERROR(__xludf.DUMMYFUNCTION("""COMPUTED_VALUE"""),"2411-355")</f>
        <v>2411-355</v>
      </c>
      <c r="B206" s="1" t="str">
        <f>IFERROR(__xludf.DUMMYFUNCTION("""COMPUTED_VALUE"""),"Ciubotaru-Desert-Hot-Springs-Site-Plan-Floorplans")</f>
        <v>Ciubotaru-Desert-Hot-Springs-Site-Plan-Floorplans</v>
      </c>
      <c r="C206" s="1" t="str">
        <f>IFERROR(__xludf.DUMMYFUNCTION("""COMPUTED_VALUE"""),"Abandoned,Expired")</f>
        <v>Abandoned,Expired</v>
      </c>
      <c r="D206" s="4">
        <f>IFERROR(__xludf.DUMMYFUNCTION("""COMPUTED_VALUE"""),959498.0)</f>
        <v>959498</v>
      </c>
      <c r="E206" s="5" t="s">
        <v>34</v>
      </c>
      <c r="J206" s="2" t="s">
        <v>23</v>
      </c>
      <c r="K206" s="2" t="s">
        <v>39</v>
      </c>
      <c r="L206" s="2" t="s">
        <v>51</v>
      </c>
      <c r="M206" s="5" t="s">
        <v>37</v>
      </c>
      <c r="N206" s="5" t="s">
        <v>48</v>
      </c>
      <c r="O206" s="5" t="s">
        <v>27</v>
      </c>
      <c r="S206" s="6"/>
      <c r="T206" s="6"/>
      <c r="U206" s="6"/>
      <c r="V206" s="6"/>
      <c r="W206" s="6"/>
      <c r="X206" s="6"/>
    </row>
    <row r="207">
      <c r="A207" s="1" t="str">
        <f>IFERROR(__xludf.DUMMYFUNCTION("""COMPUTED_VALUE"""),"2411-354")</f>
        <v>2411-354</v>
      </c>
      <c r="B207" s="1" t="str">
        <f>IFERROR(__xludf.DUMMYFUNCTION("""COMPUTED_VALUE"""),"Sauerbrey-Joshua-Tree-Carport-Patio-Structural")</f>
        <v>Sauerbrey-Joshua-Tree-Carport-Patio-Structural</v>
      </c>
      <c r="C207" s="1" t="str">
        <f>IFERROR(__xludf.DUMMYFUNCTION("""COMPUTED_VALUE"""),"A009 Resubmitted")</f>
        <v>A009 Resubmitted</v>
      </c>
      <c r="D207" s="4">
        <f>IFERROR(__xludf.DUMMYFUNCTION("""COMPUTED_VALUE"""),959497.0)</f>
        <v>959497</v>
      </c>
      <c r="E207" s="5" t="s">
        <v>20</v>
      </c>
      <c r="F207" s="2"/>
      <c r="J207" s="2" t="s">
        <v>36</v>
      </c>
      <c r="K207" s="2" t="s">
        <v>43</v>
      </c>
      <c r="L207" s="2" t="s">
        <v>36</v>
      </c>
      <c r="M207" s="5" t="s">
        <v>48</v>
      </c>
      <c r="N207" s="5" t="s">
        <v>37</v>
      </c>
      <c r="O207" s="5" t="s">
        <v>44</v>
      </c>
      <c r="S207" s="6"/>
      <c r="T207" s="3">
        <v>46005.19853659722</v>
      </c>
      <c r="U207" s="6"/>
      <c r="V207" s="3">
        <v>46006.069792581024</v>
      </c>
      <c r="W207" s="3">
        <v>46006.03974775463</v>
      </c>
      <c r="X207" s="6"/>
    </row>
    <row r="208">
      <c r="A208" s="1" t="str">
        <f>IFERROR(__xludf.DUMMYFUNCTION("""COMPUTED_VALUE"""),"2411-353")</f>
        <v>2411-353</v>
      </c>
      <c r="B208" s="1" t="str">
        <f>IFERROR(__xludf.DUMMYFUNCTION("""COMPUTED_VALUE"""),"Benson-La-Quinta-Patio-Structural")</f>
        <v>Benson-La-Quinta-Patio-Structural</v>
      </c>
      <c r="C208" s="1" t="str">
        <f>IFERROR(__xludf.DUMMYFUNCTION("""COMPUTED_VALUE"""),"Abandoned,Expired")</f>
        <v>Abandoned,Expired</v>
      </c>
      <c r="D208" s="4">
        <f>IFERROR(__xludf.DUMMYFUNCTION("""COMPUTED_VALUE"""),959495.0)</f>
        <v>959495</v>
      </c>
      <c r="E208" s="5" t="s">
        <v>34</v>
      </c>
      <c r="J208" s="2" t="s">
        <v>49</v>
      </c>
      <c r="K208" s="2" t="s">
        <v>51</v>
      </c>
      <c r="L208" s="2" t="s">
        <v>22</v>
      </c>
      <c r="M208" s="5" t="s">
        <v>48</v>
      </c>
      <c r="N208" s="5" t="s">
        <v>48</v>
      </c>
      <c r="O208" s="2" t="s">
        <v>24</v>
      </c>
      <c r="S208" s="6"/>
      <c r="T208" s="6"/>
      <c r="U208" s="3">
        <v>46007.01279972222</v>
      </c>
      <c r="V208" s="6"/>
      <c r="W208" s="6"/>
      <c r="X208" s="6"/>
    </row>
    <row r="209">
      <c r="A209" s="1" t="str">
        <f>IFERROR(__xludf.DUMMYFUNCTION("""COMPUTED_VALUE"""),"2411-352")</f>
        <v>2411-352</v>
      </c>
      <c r="B209" s="1" t="str">
        <f>IFERROR(__xludf.DUMMYFUNCTION("""COMPUTED_VALUE"""),"Argos-Porter-Ranch-Site-And-Footings-Plan")</f>
        <v>Argos-Porter-Ranch-Site-And-Footings-Plan</v>
      </c>
      <c r="C209" s="1" t="str">
        <f>IFERROR(__xludf.DUMMYFUNCTION("""COMPUTED_VALUE"""),"Approved - Construction Phase")</f>
        <v>Approved - Construction Phase</v>
      </c>
      <c r="D209" s="4">
        <f>IFERROR(__xludf.DUMMYFUNCTION("""COMPUTED_VALUE"""),959490.0)</f>
        <v>959490</v>
      </c>
      <c r="E209" s="5" t="s">
        <v>34</v>
      </c>
      <c r="F209" s="2"/>
      <c r="J209" s="2" t="s">
        <v>32</v>
      </c>
      <c r="K209" s="2" t="s">
        <v>47</v>
      </c>
      <c r="L209" s="2" t="s">
        <v>36</v>
      </c>
      <c r="M209" s="5" t="s">
        <v>37</v>
      </c>
      <c r="N209" s="5" t="s">
        <v>48</v>
      </c>
      <c r="O209" s="5" t="s">
        <v>24</v>
      </c>
      <c r="S209" s="3">
        <v>46005.56411497685</v>
      </c>
      <c r="T209" s="6"/>
      <c r="U209" s="6"/>
      <c r="V209" s="3">
        <v>46005.50008091435</v>
      </c>
      <c r="W209" s="3">
        <v>46005.50006099537</v>
      </c>
      <c r="X209" s="6"/>
    </row>
    <row r="210">
      <c r="A210" s="1" t="str">
        <f>IFERROR(__xludf.DUMMYFUNCTION("""COMPUTED_VALUE"""),"2411-351")</f>
        <v>2411-351</v>
      </c>
      <c r="B210" s="1" t="str">
        <f>IFERROR(__xludf.DUMMYFUNCTION("""COMPUTED_VALUE"""),"Man-San-Bernardino-New-SFR")</f>
        <v>Man-San-Bernardino-New-SFR</v>
      </c>
      <c r="C210" s="1" t="str">
        <f>IFERROR(__xludf.DUMMYFUNCTION("""COMPUTED_VALUE"""),"Approved - Construction Phase")</f>
        <v>Approved - Construction Phase</v>
      </c>
      <c r="D210" s="4">
        <f>IFERROR(__xludf.DUMMYFUNCTION("""COMPUTED_VALUE"""),959485.0)</f>
        <v>959485</v>
      </c>
      <c r="E210" s="5" t="s">
        <v>20</v>
      </c>
      <c r="J210" s="2" t="s">
        <v>26</v>
      </c>
      <c r="K210" s="2" t="s">
        <v>26</v>
      </c>
      <c r="L210" s="2" t="s">
        <v>26</v>
      </c>
      <c r="M210" s="5" t="s">
        <v>37</v>
      </c>
      <c r="N210" s="5" t="s">
        <v>37</v>
      </c>
      <c r="O210" s="5" t="s">
        <v>48</v>
      </c>
      <c r="S210" s="6"/>
      <c r="T210" s="6"/>
      <c r="U210" s="6"/>
      <c r="V210" s="6"/>
      <c r="W210" s="6"/>
      <c r="X210" s="6"/>
    </row>
    <row r="211">
      <c r="A211" s="1" t="str">
        <f>IFERROR(__xludf.DUMMYFUNCTION("""COMPUTED_VALUE"""),"2411-350")</f>
        <v>2411-350</v>
      </c>
      <c r="B211" s="1" t="str">
        <f>IFERROR(__xludf.DUMMYFUNCTION("""COMPUTED_VALUE"""),"Castro-Apple-Valley-CUP-Site-Plan")</f>
        <v>Castro-Apple-Valley-CUP-Site-Plan</v>
      </c>
      <c r="C211" s="1" t="str">
        <f>IFERROR(__xludf.DUMMYFUNCTION("""COMPUTED_VALUE"""),"A008 Submitted - Waiting on Others")</f>
        <v>A008 Submitted - Waiting on Others</v>
      </c>
      <c r="D211" s="4">
        <f>IFERROR(__xludf.DUMMYFUNCTION("""COMPUTED_VALUE"""),959483.0)</f>
        <v>959483</v>
      </c>
      <c r="E211" s="5" t="s">
        <v>34</v>
      </c>
      <c r="J211" s="2" t="s">
        <v>23</v>
      </c>
      <c r="K211" s="2" t="s">
        <v>25</v>
      </c>
      <c r="L211" s="2" t="s">
        <v>49</v>
      </c>
      <c r="M211" s="5" t="s">
        <v>24</v>
      </c>
      <c r="N211" s="5" t="s">
        <v>48</v>
      </c>
      <c r="O211" s="5" t="s">
        <v>48</v>
      </c>
      <c r="S211" s="6"/>
      <c r="T211" s="6"/>
      <c r="U211" s="6"/>
      <c r="V211" s="6"/>
      <c r="W211" s="6"/>
      <c r="X211" s="6"/>
    </row>
    <row r="212">
      <c r="A212" s="1" t="str">
        <f>IFERROR(__xludf.DUMMYFUNCTION("""COMPUTED_VALUE"""),"2411-349")</f>
        <v>2411-349</v>
      </c>
      <c r="B212" s="1" t="str">
        <f>IFERROR(__xludf.DUMMYFUNCTION("""COMPUTED_VALUE"""),"Switzer-San-Pedro-ADU-Frog")</f>
        <v>Switzer-San-Pedro-ADU-Frog</v>
      </c>
      <c r="C212" s="1" t="str">
        <f>IFERROR(__xludf.DUMMYFUNCTION("""COMPUTED_VALUE"""),"A008.2 Architectural Comment Responses")</f>
        <v>A008.2 Architectural Comment Responses</v>
      </c>
      <c r="D212" s="4">
        <f>IFERROR(__xludf.DUMMYFUNCTION("""COMPUTED_VALUE"""),959479.0)</f>
        <v>959479</v>
      </c>
      <c r="E212" s="5" t="s">
        <v>20</v>
      </c>
      <c r="J212" s="2" t="s">
        <v>22</v>
      </c>
      <c r="K212" s="2" t="s">
        <v>26</v>
      </c>
      <c r="L212" s="2" t="s">
        <v>42</v>
      </c>
      <c r="M212" s="5" t="s">
        <v>27</v>
      </c>
      <c r="N212" s="5" t="s">
        <v>27</v>
      </c>
      <c r="O212" s="5" t="s">
        <v>48</v>
      </c>
      <c r="S212" s="6"/>
      <c r="T212" s="6"/>
      <c r="U212" s="6"/>
      <c r="V212" s="6"/>
      <c r="W212" s="6"/>
      <c r="X212" s="6"/>
    </row>
    <row r="213">
      <c r="A213" s="1" t="str">
        <f>IFERROR(__xludf.DUMMYFUNCTION("""COMPUTED_VALUE"""),"2411-348")</f>
        <v>2411-348</v>
      </c>
      <c r="B213" s="1" t="str">
        <f>IFERROR(__xludf.DUMMYFUNCTION("""COMPUTED_VALUE"""),"Maina-Joshua-Tree-New-SFR-Plans")</f>
        <v>Maina-Joshua-Tree-New-SFR-Plans</v>
      </c>
      <c r="C213" s="1" t="str">
        <f>IFERROR(__xludf.DUMMYFUNCTION("""COMPUTED_VALUE"""),"Approved - Construction Phase")</f>
        <v>Approved - Construction Phase</v>
      </c>
      <c r="D213" s="4">
        <f>IFERROR(__xludf.DUMMYFUNCTION("""COMPUTED_VALUE"""),953668.0)</f>
        <v>953668</v>
      </c>
      <c r="E213" s="5" t="s">
        <v>34</v>
      </c>
      <c r="F213" s="2"/>
      <c r="J213" s="2" t="s">
        <v>32</v>
      </c>
      <c r="K213" s="2" t="s">
        <v>43</v>
      </c>
      <c r="L213" s="2" t="s">
        <v>33</v>
      </c>
      <c r="M213" s="5" t="s">
        <v>27</v>
      </c>
      <c r="N213" s="5" t="s">
        <v>44</v>
      </c>
      <c r="O213" s="5" t="s">
        <v>37</v>
      </c>
      <c r="S213" s="6"/>
      <c r="T213" s="6"/>
      <c r="U213" s="6"/>
      <c r="V213" s="3">
        <v>46005.56471953704</v>
      </c>
      <c r="W213" s="3">
        <v>46005.564703020835</v>
      </c>
      <c r="X213" s="6"/>
    </row>
    <row r="214">
      <c r="A214" s="1" t="str">
        <f>IFERROR(__xludf.DUMMYFUNCTION("""COMPUTED_VALUE"""),"2411-347")</f>
        <v>2411-347</v>
      </c>
      <c r="B214" s="1" t="str">
        <f>IFERROR(__xludf.DUMMYFUNCTION("""COMPUTED_VALUE"""),"Klever-Kidz-Lancaster-Occupancy-Review")</f>
        <v>Klever-Kidz-Lancaster-Occupancy-Review</v>
      </c>
      <c r="C214" s="1" t="str">
        <f>IFERROR(__xludf.DUMMYFUNCTION("""COMPUTED_VALUE"""),"Approved - Construction Phase")</f>
        <v>Approved - Construction Phase</v>
      </c>
      <c r="D214" s="4">
        <f>IFERROR(__xludf.DUMMYFUNCTION("""COMPUTED_VALUE"""),953522.0)</f>
        <v>953522</v>
      </c>
      <c r="E214" s="5" t="s">
        <v>34</v>
      </c>
      <c r="J214" s="2" t="s">
        <v>51</v>
      </c>
      <c r="K214" s="2" t="s">
        <v>51</v>
      </c>
      <c r="L214" s="2" t="s">
        <v>43</v>
      </c>
      <c r="M214" s="5" t="s">
        <v>48</v>
      </c>
      <c r="N214" s="5" t="s">
        <v>27</v>
      </c>
      <c r="O214" s="5" t="s">
        <v>48</v>
      </c>
      <c r="S214" s="6"/>
      <c r="T214" s="6"/>
      <c r="U214" s="6"/>
      <c r="V214" s="6"/>
      <c r="W214" s="6"/>
      <c r="X214" s="6"/>
    </row>
    <row r="215">
      <c r="A215" s="1" t="str">
        <f>IFERROR(__xludf.DUMMYFUNCTION("""COMPUTED_VALUE"""),"2411-346")</f>
        <v>2411-346</v>
      </c>
      <c r="B215" s="1" t="str">
        <f>IFERROR(__xludf.DUMMYFUNCTION("""COMPUTED_VALUE"""),"Kaufman-Westchester-Garage-ADU-Conversion")</f>
        <v>Kaufman-Westchester-Garage-ADU-Conversion</v>
      </c>
      <c r="C215" s="1" t="str">
        <f>IFERROR(__xludf.DUMMYFUNCTION("""COMPUTED_VALUE"""),"Approved - Construction Phase")</f>
        <v>Approved - Construction Phase</v>
      </c>
      <c r="D215" s="4">
        <f>IFERROR(__xludf.DUMMYFUNCTION("""COMPUTED_VALUE"""),953354.0)</f>
        <v>953354</v>
      </c>
      <c r="E215" s="5" t="s">
        <v>34</v>
      </c>
      <c r="F215" s="2"/>
      <c r="H215" s="2" t="s">
        <v>56</v>
      </c>
      <c r="I215" s="2"/>
      <c r="J215" s="2" t="s">
        <v>23</v>
      </c>
      <c r="K215" s="2" t="s">
        <v>39</v>
      </c>
      <c r="L215" s="2" t="s">
        <v>43</v>
      </c>
      <c r="M215" s="5" t="s">
        <v>48</v>
      </c>
      <c r="N215" s="5" t="s">
        <v>44</v>
      </c>
      <c r="O215" s="5" t="s">
        <v>24</v>
      </c>
      <c r="S215" s="3">
        <v>46005.55342296296</v>
      </c>
      <c r="T215" s="6"/>
      <c r="U215" s="6"/>
      <c r="V215" s="3">
        <v>46005.503427627315</v>
      </c>
      <c r="W215" s="3">
        <v>46005.504197546295</v>
      </c>
      <c r="X215" s="6"/>
    </row>
    <row r="216">
      <c r="A216" s="1" t="str">
        <f>IFERROR(__xludf.DUMMYFUNCTION("""COMPUTED_VALUE"""),"2411-345")</f>
        <v>2411-345</v>
      </c>
      <c r="B216" s="1" t="str">
        <f>IFERROR(__xludf.DUMMYFUNCTION("""COMPUTED_VALUE"""),"Seagren-SD-ADU-Expansion")</f>
        <v>Seagren-SD-ADU-Expansion</v>
      </c>
      <c r="C216" s="1" t="str">
        <f>IFERROR(__xludf.DUMMYFUNCTION("""COMPUTED_VALUE"""),"Approved - Construction Phase")</f>
        <v>Approved - Construction Phase</v>
      </c>
      <c r="D216" s="4">
        <f>IFERROR(__xludf.DUMMYFUNCTION("""COMPUTED_VALUE"""),952653.0)</f>
        <v>952653</v>
      </c>
      <c r="E216" s="5" t="s">
        <v>34</v>
      </c>
      <c r="J216" s="2" t="s">
        <v>32</v>
      </c>
      <c r="K216" s="2" t="s">
        <v>25</v>
      </c>
      <c r="L216" s="2" t="s">
        <v>40</v>
      </c>
      <c r="M216" s="5" t="s">
        <v>44</v>
      </c>
      <c r="N216" s="5" t="s">
        <v>48</v>
      </c>
      <c r="O216" s="5" t="s">
        <v>48</v>
      </c>
      <c r="S216" s="6"/>
      <c r="T216" s="6"/>
      <c r="U216" s="6"/>
      <c r="V216" s="6"/>
      <c r="W216" s="3">
        <v>46005.5647805787</v>
      </c>
      <c r="X216" s="6"/>
    </row>
    <row r="217">
      <c r="A217" s="1" t="str">
        <f>IFERROR(__xludf.DUMMYFUNCTION("""COMPUTED_VALUE"""),"2411-344")</f>
        <v>2411-344</v>
      </c>
      <c r="B217" s="1" t="str">
        <f>IFERROR(__xludf.DUMMYFUNCTION("""COMPUTED_VALUE"""),"Lemos-SD-New-ADU-SFR-Remodel")</f>
        <v>Lemos-SD-New-ADU-SFR-Remodel</v>
      </c>
      <c r="C217" s="1" t="str">
        <f>IFERROR(__xludf.DUMMYFUNCTION("""COMPUTED_VALUE"""),"Paused - Stalled by 3rd Party")</f>
        <v>Paused - Stalled by 3rd Party</v>
      </c>
      <c r="D217" s="4">
        <f>IFERROR(__xludf.DUMMYFUNCTION("""COMPUTED_VALUE"""),950391.0)</f>
        <v>950391</v>
      </c>
      <c r="E217" s="5" t="s">
        <v>20</v>
      </c>
      <c r="J217" s="2" t="s">
        <v>22</v>
      </c>
      <c r="K217" s="2" t="s">
        <v>33</v>
      </c>
      <c r="L217" s="2" t="s">
        <v>49</v>
      </c>
      <c r="M217" s="2" t="s">
        <v>37</v>
      </c>
      <c r="N217" s="5" t="s">
        <v>24</v>
      </c>
      <c r="O217" s="5" t="s">
        <v>27</v>
      </c>
      <c r="S217" s="3">
        <v>46006.39083013889</v>
      </c>
      <c r="T217" s="6"/>
      <c r="U217" s="6"/>
      <c r="V217" s="6"/>
      <c r="W217" s="3">
        <v>46006.07010658565</v>
      </c>
      <c r="X217" s="6"/>
    </row>
    <row r="218">
      <c r="A218" s="1" t="str">
        <f>IFERROR(__xludf.DUMMYFUNCTION("""COMPUTED_VALUE"""),"2411-343")</f>
        <v>2411-343</v>
      </c>
      <c r="B218" s="1" t="str">
        <f>IFERROR(__xludf.DUMMYFUNCTION("""COMPUTED_VALUE"""),"Gahir - Simi Valley - Detached ADU")</f>
        <v>Gahir - Simi Valley - Detached ADU</v>
      </c>
      <c r="C218" s="1" t="str">
        <f>IFERROR(__xludf.DUMMYFUNCTION("""COMPUTED_VALUE"""),"Approved - Construction Phase")</f>
        <v>Approved - Construction Phase</v>
      </c>
      <c r="D218" s="4">
        <f>IFERROR(__xludf.DUMMYFUNCTION("""COMPUTED_VALUE"""),949322.0)</f>
        <v>949322</v>
      </c>
      <c r="E218" s="5" t="s">
        <v>34</v>
      </c>
      <c r="J218" s="2" t="s">
        <v>50</v>
      </c>
      <c r="K218" s="2" t="s">
        <v>49</v>
      </c>
      <c r="L218" s="2" t="s">
        <v>32</v>
      </c>
      <c r="M218" s="5" t="s">
        <v>24</v>
      </c>
      <c r="N218" s="5" t="s">
        <v>37</v>
      </c>
      <c r="O218" s="5" t="s">
        <v>44</v>
      </c>
      <c r="S218" s="6"/>
      <c r="T218" s="6"/>
      <c r="U218" s="6"/>
      <c r="V218" s="6"/>
      <c r="W218" s="6"/>
      <c r="X218" s="6"/>
    </row>
    <row r="219">
      <c r="A219" s="1" t="str">
        <f>IFERROR(__xludf.DUMMYFUNCTION("""COMPUTED_VALUE"""),"2411-342")</f>
        <v>2411-342</v>
      </c>
      <c r="B219" s="1" t="str">
        <f>IFERROR(__xludf.DUMMYFUNCTION("""COMPUTED_VALUE"""),"Galvan - San Diego - Detached ADU")</f>
        <v>Galvan - San Diego - Detached ADU</v>
      </c>
      <c r="C219" s="1" t="str">
        <f>IFERROR(__xludf.DUMMYFUNCTION("""COMPUTED_VALUE"""),"A009 Resubmitted")</f>
        <v>A009 Resubmitted</v>
      </c>
      <c r="D219" s="4">
        <f>IFERROR(__xludf.DUMMYFUNCTION("""COMPUTED_VALUE"""),948630.0)</f>
        <v>948630</v>
      </c>
      <c r="E219" s="5" t="s">
        <v>20</v>
      </c>
      <c r="J219" s="2" t="s">
        <v>36</v>
      </c>
      <c r="K219" s="2" t="s">
        <v>22</v>
      </c>
      <c r="L219" s="2" t="s">
        <v>32</v>
      </c>
      <c r="M219" s="5" t="s">
        <v>48</v>
      </c>
      <c r="N219" s="5" t="s">
        <v>24</v>
      </c>
      <c r="O219" s="5" t="s">
        <v>27</v>
      </c>
      <c r="S219" s="6"/>
      <c r="T219" s="6"/>
      <c r="U219" s="6"/>
      <c r="V219" s="6"/>
      <c r="W219" s="6"/>
      <c r="X219" s="6"/>
    </row>
    <row r="220">
      <c r="A220" s="1" t="str">
        <f>IFERROR(__xludf.DUMMYFUNCTION("""COMPUTED_VALUE"""),"2411-341")</f>
        <v>2411-341</v>
      </c>
      <c r="B220" s="1" t="str">
        <f>IFERROR(__xludf.DUMMYFUNCTION("""COMPUTED_VALUE"""),"Finkle - Orange - Deck - Structural")</f>
        <v>Finkle - Orange - Deck - Structural</v>
      </c>
      <c r="C220" s="1" t="str">
        <f>IFERROR(__xludf.DUMMYFUNCTION("""COMPUTED_VALUE"""),"Abandoned,Expired")</f>
        <v>Abandoned,Expired</v>
      </c>
      <c r="D220" s="4">
        <f>IFERROR(__xludf.DUMMYFUNCTION("""COMPUTED_VALUE"""),949212.0)</f>
        <v>949212</v>
      </c>
      <c r="E220" s="5" t="s">
        <v>20</v>
      </c>
      <c r="J220" s="2" t="s">
        <v>23</v>
      </c>
      <c r="K220" s="2" t="s">
        <v>23</v>
      </c>
      <c r="L220" s="2" t="s">
        <v>23</v>
      </c>
      <c r="M220" s="5" t="s">
        <v>37</v>
      </c>
      <c r="N220" s="5" t="s">
        <v>37</v>
      </c>
      <c r="O220" s="5" t="s">
        <v>48</v>
      </c>
      <c r="S220" s="6"/>
      <c r="T220" s="6"/>
      <c r="U220" s="6"/>
      <c r="V220" s="6"/>
      <c r="W220" s="6"/>
      <c r="X220" s="6"/>
    </row>
    <row r="221">
      <c r="A221" s="1" t="str">
        <f>IFERROR(__xludf.DUMMYFUNCTION("""COMPUTED_VALUE"""),"2411-340")</f>
        <v>2411-340</v>
      </c>
      <c r="B221" s="1" t="str">
        <f>IFERROR(__xludf.DUMMYFUNCTION("""COMPUTED_VALUE"""),"Yarash - San Diego - ADU JADU Deck Remodel")</f>
        <v>Yarash - San Diego - ADU JADU Deck Remodel</v>
      </c>
      <c r="C221" s="1" t="str">
        <f>IFERROR(__xludf.DUMMYFUNCTION("""COMPUTED_VALUE"""),"A008.8 Pending Resubmittal")</f>
        <v>A008.8 Pending Resubmittal</v>
      </c>
      <c r="D221" s="4">
        <f>IFERROR(__xludf.DUMMYFUNCTION("""COMPUTED_VALUE"""),948747.0)</f>
        <v>948747</v>
      </c>
      <c r="E221" s="5" t="s">
        <v>34</v>
      </c>
      <c r="F221" s="2"/>
      <c r="J221" s="2" t="s">
        <v>35</v>
      </c>
      <c r="K221" s="2" t="s">
        <v>36</v>
      </c>
      <c r="L221" s="2" t="s">
        <v>50</v>
      </c>
      <c r="M221" s="5" t="s">
        <v>48</v>
      </c>
      <c r="N221" s="5" t="s">
        <v>48</v>
      </c>
      <c r="O221" s="5" t="s">
        <v>37</v>
      </c>
      <c r="S221" s="3">
        <v>46006.24031395833</v>
      </c>
      <c r="T221" s="6"/>
      <c r="U221" s="6"/>
      <c r="V221" s="3">
        <v>46005.56488015046</v>
      </c>
      <c r="W221" s="3">
        <v>46005.56486738426</v>
      </c>
      <c r="X221" s="6"/>
    </row>
    <row r="222">
      <c r="A222" s="1" t="str">
        <f>IFERROR(__xludf.DUMMYFUNCTION("""COMPUTED_VALUE"""),"2411-339")</f>
        <v>2411-339</v>
      </c>
      <c r="B222" s="1" t="str">
        <f>IFERROR(__xludf.DUMMYFUNCTION("""COMPUTED_VALUE"""),"Avery - San Diego - Structural")</f>
        <v>Avery - San Diego - Structural</v>
      </c>
      <c r="C222" s="1" t="str">
        <f>IFERROR(__xludf.DUMMYFUNCTION("""COMPUTED_VALUE"""),"Approved - Construction Phase")</f>
        <v>Approved - Construction Phase</v>
      </c>
      <c r="D222" s="4">
        <f>IFERROR(__xludf.DUMMYFUNCTION("""COMPUTED_VALUE"""),948722.0)</f>
        <v>948722</v>
      </c>
      <c r="E222" s="5" t="s">
        <v>34</v>
      </c>
      <c r="J222" s="2" t="s">
        <v>25</v>
      </c>
      <c r="K222" s="2" t="s">
        <v>51</v>
      </c>
      <c r="L222" s="2" t="s">
        <v>33</v>
      </c>
      <c r="M222" s="5" t="s">
        <v>37</v>
      </c>
      <c r="N222" s="5" t="s">
        <v>24</v>
      </c>
      <c r="O222" s="5" t="s">
        <v>44</v>
      </c>
      <c r="S222" s="6"/>
      <c r="T222" s="6"/>
      <c r="U222" s="6"/>
      <c r="V222" s="6"/>
      <c r="W222" s="6"/>
      <c r="X222" s="6"/>
    </row>
    <row r="223">
      <c r="A223" s="1" t="str">
        <f>IFERROR(__xludf.DUMMYFUNCTION("""COMPUTED_VALUE"""),"2411-338")</f>
        <v>2411-338</v>
      </c>
      <c r="B223" s="1" t="str">
        <f>IFERROR(__xludf.DUMMYFUNCTION("""COMPUTED_VALUE"""),"Adams - Corona - Remodel")</f>
        <v>Adams - Corona - Remodel</v>
      </c>
      <c r="C223" s="1" t="str">
        <f>IFERROR(__xludf.DUMMYFUNCTION("""COMPUTED_VALUE"""),"Approved - Construction Phase")</f>
        <v>Approved - Construction Phase</v>
      </c>
      <c r="D223" s="4">
        <f>IFERROR(__xludf.DUMMYFUNCTION("""COMPUTED_VALUE"""),948703.0)</f>
        <v>948703</v>
      </c>
      <c r="E223" s="5" t="s">
        <v>34</v>
      </c>
      <c r="J223" s="2" t="s">
        <v>35</v>
      </c>
      <c r="K223" s="2" t="s">
        <v>42</v>
      </c>
      <c r="L223" s="2" t="s">
        <v>22</v>
      </c>
      <c r="M223" s="5" t="s">
        <v>27</v>
      </c>
      <c r="N223" s="5" t="s">
        <v>44</v>
      </c>
      <c r="O223" s="2" t="s">
        <v>24</v>
      </c>
      <c r="S223" s="6"/>
      <c r="T223" s="6"/>
      <c r="U223" s="3">
        <v>46006.39116515046</v>
      </c>
      <c r="V223" s="6"/>
      <c r="W223" s="6"/>
      <c r="X223" s="6"/>
    </row>
    <row r="224">
      <c r="A224" s="1" t="str">
        <f>IFERROR(__xludf.DUMMYFUNCTION("""COMPUTED_VALUE"""),"2411-337")</f>
        <v>2411-337</v>
      </c>
      <c r="B224" s="1" t="str">
        <f>IFERROR(__xludf.DUMMYFUNCTION("""COMPUTED_VALUE"""),"Jokerst - San Diego - Remodel")</f>
        <v>Jokerst - San Diego - Remodel</v>
      </c>
      <c r="C224" s="1" t="str">
        <f>IFERROR(__xludf.DUMMYFUNCTION("""COMPUTED_VALUE"""),"A006.5 - Structural Engineering")</f>
        <v>A006.5 - Structural Engineering</v>
      </c>
      <c r="D224" s="4">
        <f>IFERROR(__xludf.DUMMYFUNCTION("""COMPUTED_VALUE"""),948689.0)</f>
        <v>948689</v>
      </c>
      <c r="E224" s="5" t="s">
        <v>34</v>
      </c>
      <c r="J224" s="2" t="s">
        <v>49</v>
      </c>
      <c r="K224" s="2" t="s">
        <v>25</v>
      </c>
      <c r="L224" s="2" t="s">
        <v>51</v>
      </c>
      <c r="M224" s="5" t="s">
        <v>27</v>
      </c>
      <c r="N224" s="5" t="s">
        <v>27</v>
      </c>
      <c r="O224" s="5" t="s">
        <v>24</v>
      </c>
      <c r="S224" s="6"/>
      <c r="T224" s="6"/>
      <c r="U224" s="6"/>
      <c r="V224" s="6"/>
      <c r="W224" s="6"/>
      <c r="X224" s="6"/>
    </row>
    <row r="225">
      <c r="A225" s="1" t="str">
        <f>IFERROR(__xludf.DUMMYFUNCTION("""COMPUTED_VALUE"""),"2411-336")</f>
        <v>2411-336</v>
      </c>
      <c r="B225" s="1" t="str">
        <f>IFERROR(__xludf.DUMMYFUNCTION("""COMPUTED_VALUE"""),"Martin - Oceanside - Detached ADU")</f>
        <v>Martin - Oceanside - Detached ADU</v>
      </c>
      <c r="C225" s="1" t="str">
        <f>IFERROR(__xludf.DUMMYFUNCTION("""COMPUTED_VALUE"""),"A008.2 Architectural Comment Responses")</f>
        <v>A008.2 Architectural Comment Responses</v>
      </c>
      <c r="D225" s="4">
        <f>IFERROR(__xludf.DUMMYFUNCTION("""COMPUTED_VALUE"""),948673.0)</f>
        <v>948673</v>
      </c>
      <c r="E225" s="5" t="s">
        <v>34</v>
      </c>
      <c r="F225" s="2"/>
      <c r="J225" s="2" t="s">
        <v>33</v>
      </c>
      <c r="K225" s="2" t="s">
        <v>42</v>
      </c>
      <c r="L225" s="2" t="s">
        <v>43</v>
      </c>
      <c r="M225" s="5" t="s">
        <v>44</v>
      </c>
      <c r="N225" s="5" t="s">
        <v>27</v>
      </c>
      <c r="O225" s="5" t="s">
        <v>44</v>
      </c>
      <c r="S225" s="6"/>
      <c r="T225" s="6"/>
      <c r="U225" s="6"/>
      <c r="V225" s="3">
        <v>46005.56500104167</v>
      </c>
      <c r="W225" s="3">
        <v>46005.56494935185</v>
      </c>
      <c r="X225" s="6"/>
    </row>
    <row r="226">
      <c r="A226" s="1" t="str">
        <f>IFERROR(__xludf.DUMMYFUNCTION("""COMPUTED_VALUE"""),"2411-101")</f>
        <v>2411-101</v>
      </c>
      <c r="B226" s="1" t="str">
        <f>IFERROR(__xludf.DUMMYFUNCTION("""COMPUTED_VALUE"""),"Novak - La Mesa - Plot Plan")</f>
        <v>Novak - La Mesa - Plot Plan</v>
      </c>
      <c r="C226" s="1" t="str">
        <f>IFERROR(__xludf.DUMMYFUNCTION("""COMPUTED_VALUE"""),"Approved - Construction Phase")</f>
        <v>Approved - Construction Phase</v>
      </c>
      <c r="D226" s="4">
        <f>IFERROR(__xludf.DUMMYFUNCTION("""COMPUTED_VALUE"""),948658.0)</f>
        <v>948658</v>
      </c>
      <c r="E226" s="5" t="s">
        <v>34</v>
      </c>
      <c r="J226" s="2" t="s">
        <v>25</v>
      </c>
      <c r="K226" s="2" t="s">
        <v>51</v>
      </c>
      <c r="L226" s="2" t="s">
        <v>42</v>
      </c>
      <c r="M226" s="5" t="s">
        <v>27</v>
      </c>
      <c r="N226" s="5" t="s">
        <v>44</v>
      </c>
      <c r="O226" s="5" t="s">
        <v>37</v>
      </c>
      <c r="S226" s="6"/>
      <c r="T226" s="6"/>
      <c r="U226" s="6"/>
      <c r="V226" s="6"/>
      <c r="W226" s="6"/>
      <c r="X226" s="6"/>
    </row>
    <row r="227">
      <c r="A227" s="1" t="str">
        <f>IFERROR(__xludf.DUMMYFUNCTION("""COMPUTED_VALUE"""),"2411-100")</f>
        <v>2411-100</v>
      </c>
      <c r="B227" s="1" t="str">
        <f>IFERROR(__xludf.DUMMYFUNCTION("""COMPUTED_VALUE"""),"PSG Small Project Template")</f>
        <v>PSG Small Project Template</v>
      </c>
      <c r="C227" s="1" t="str">
        <f>IFERROR(__xludf.DUMMYFUNCTION("""COMPUTED_VALUE"""),"A001 Estimate, Proposal &amp; Project Data")</f>
        <v>A001 Estimate, Proposal &amp; Project Data</v>
      </c>
      <c r="D227" s="4">
        <f>IFERROR(__xludf.DUMMYFUNCTION("""COMPUTED_VALUE"""),912597.0)</f>
        <v>912597</v>
      </c>
      <c r="E227" s="5" t="s">
        <v>34</v>
      </c>
      <c r="J227" s="2" t="s">
        <v>25</v>
      </c>
      <c r="K227" s="2" t="s">
        <v>32</v>
      </c>
      <c r="L227" s="2" t="s">
        <v>49</v>
      </c>
      <c r="M227" s="5" t="s">
        <v>37</v>
      </c>
      <c r="N227" s="5" t="s">
        <v>27</v>
      </c>
      <c r="O227" s="5" t="s">
        <v>27</v>
      </c>
      <c r="S227" s="6"/>
      <c r="T227" s="6"/>
      <c r="U227" s="6"/>
      <c r="V227" s="6"/>
      <c r="W227" s="6"/>
      <c r="X227" s="6"/>
    </row>
    <row r="228">
      <c r="A228" s="1" t="str">
        <f>IFERROR(__xludf.DUMMYFUNCTION("""COMPUTED_VALUE"""),"2410-335")</f>
        <v>2410-335</v>
      </c>
      <c r="B228" s="1" t="str">
        <f>IFERROR(__xludf.DUMMYFUNCTION("""COMPUTED_VALUE"""),"DeVelbiss-Hemet-New SFR")</f>
        <v>DeVelbiss-Hemet-New SFR</v>
      </c>
      <c r="C228" s="1" t="str">
        <f>IFERROR(__xludf.DUMMYFUNCTION("""COMPUTED_VALUE"""),"A008.2 Architectural Comment Responses")</f>
        <v>A008.2 Architectural Comment Responses</v>
      </c>
      <c r="D228" s="4">
        <f>IFERROR(__xludf.DUMMYFUNCTION("""COMPUTED_VALUE"""),939206.0)</f>
        <v>939206</v>
      </c>
      <c r="E228" s="5" t="s">
        <v>20</v>
      </c>
      <c r="J228" s="2" t="s">
        <v>25</v>
      </c>
      <c r="K228" s="2" t="s">
        <v>25</v>
      </c>
      <c r="L228" s="2" t="s">
        <v>36</v>
      </c>
      <c r="M228" s="5" t="s">
        <v>37</v>
      </c>
      <c r="N228" s="5" t="s">
        <v>44</v>
      </c>
      <c r="O228" s="5" t="s">
        <v>44</v>
      </c>
      <c r="S228" s="6"/>
      <c r="T228" s="6"/>
      <c r="U228" s="6"/>
      <c r="V228" s="6"/>
      <c r="W228" s="6"/>
      <c r="X228" s="6"/>
    </row>
    <row r="229">
      <c r="A229" s="1" t="str">
        <f>IFERROR(__xludf.DUMMYFUNCTION("""COMPUTED_VALUE"""),"2410-334")</f>
        <v>2410-334</v>
      </c>
      <c r="B229" s="1" t="str">
        <f>IFERROR(__xludf.DUMMYFUNCTION("""COMPUTED_VALUE"""),"Veterans-Woodland Hills-Bar Health Permit")</f>
        <v>Veterans-Woodland Hills-Bar Health Permit</v>
      </c>
      <c r="C229" s="1" t="str">
        <f>IFERROR(__xludf.DUMMYFUNCTION("""COMPUTED_VALUE"""),"A008.2 Architectural Comment Responses")</f>
        <v>A008.2 Architectural Comment Responses</v>
      </c>
      <c r="D229" s="4">
        <f>IFERROR(__xludf.DUMMYFUNCTION("""COMPUTED_VALUE"""),974094.0)</f>
        <v>974094</v>
      </c>
      <c r="E229" s="5" t="s">
        <v>34</v>
      </c>
      <c r="F229" s="2"/>
      <c r="J229" s="2" t="s">
        <v>22</v>
      </c>
      <c r="K229" s="2" t="s">
        <v>33</v>
      </c>
      <c r="L229" s="2" t="s">
        <v>50</v>
      </c>
      <c r="M229" s="5" t="s">
        <v>24</v>
      </c>
      <c r="N229" s="5" t="s">
        <v>37</v>
      </c>
      <c r="O229" s="5" t="s">
        <v>48</v>
      </c>
      <c r="S229" s="6"/>
      <c r="T229" s="6"/>
      <c r="U229" s="6"/>
      <c r="V229" s="3">
        <v>46006.06958451388</v>
      </c>
      <c r="W229" s="3">
        <v>46006.037928668986</v>
      </c>
      <c r="X229" s="6"/>
    </row>
    <row r="230">
      <c r="A230" s="1" t="str">
        <f>IFERROR(__xludf.DUMMYFUNCTION("""COMPUTED_VALUE"""),"2410-333")</f>
        <v>2410-333</v>
      </c>
      <c r="B230" s="1" t="str">
        <f>IFERROR(__xludf.DUMMYFUNCTION("""COMPUTED_VALUE"""),"King-Palm Springs-SFR Remodel")</f>
        <v>King-Palm Springs-SFR Remodel</v>
      </c>
      <c r="C230" s="1" t="str">
        <f>IFERROR(__xludf.DUMMYFUNCTION("""COMPUTED_VALUE"""),"Approved - Construction Phase")</f>
        <v>Approved - Construction Phase</v>
      </c>
      <c r="D230" s="4">
        <f>IFERROR(__xludf.DUMMYFUNCTION("""COMPUTED_VALUE"""),939532.0)</f>
        <v>939532</v>
      </c>
      <c r="E230" s="5" t="s">
        <v>20</v>
      </c>
      <c r="J230" s="2" t="s">
        <v>47</v>
      </c>
      <c r="K230" s="2" t="s">
        <v>22</v>
      </c>
      <c r="L230" s="2" t="s">
        <v>23</v>
      </c>
      <c r="M230" s="5" t="s">
        <v>27</v>
      </c>
      <c r="N230" s="2" t="s">
        <v>24</v>
      </c>
      <c r="O230" s="5" t="s">
        <v>37</v>
      </c>
      <c r="S230" s="6"/>
      <c r="T230" s="3">
        <v>46006.39123306713</v>
      </c>
      <c r="U230" s="6"/>
      <c r="V230" s="6"/>
      <c r="W230" s="6"/>
      <c r="X230" s="6"/>
    </row>
    <row r="231">
      <c r="A231" s="1" t="str">
        <f>IFERROR(__xludf.DUMMYFUNCTION("""COMPUTED_VALUE"""),"2410-332")</f>
        <v>2410-332</v>
      </c>
      <c r="B231" s="1" t="str">
        <f>IFERROR(__xludf.DUMMYFUNCTION("""COMPUTED_VALUE"""),"Gonzalez Quality Carriers-Compton-Site Plan")</f>
        <v>Gonzalez Quality Carriers-Compton-Site Plan</v>
      </c>
      <c r="C231" s="1" t="str">
        <f>IFERROR(__xludf.DUMMYFUNCTION("""COMPUTED_VALUE"""),"Abandoned,Expired")</f>
        <v>Abandoned,Expired</v>
      </c>
      <c r="D231" s="4">
        <f>IFERROR(__xludf.DUMMYFUNCTION("""COMPUTED_VALUE"""),938887.0)</f>
        <v>938887</v>
      </c>
      <c r="E231" s="5" t="s">
        <v>20</v>
      </c>
      <c r="J231" s="2" t="s">
        <v>32</v>
      </c>
      <c r="K231" s="2" t="s">
        <v>26</v>
      </c>
      <c r="L231" s="2" t="s">
        <v>22</v>
      </c>
      <c r="M231" s="5" t="s">
        <v>48</v>
      </c>
      <c r="N231" s="5" t="s">
        <v>37</v>
      </c>
      <c r="O231" s="5" t="s">
        <v>37</v>
      </c>
      <c r="S231" s="6"/>
      <c r="T231" s="6"/>
      <c r="U231" s="6"/>
      <c r="V231" s="6"/>
      <c r="W231" s="6"/>
      <c r="X231" s="6"/>
    </row>
    <row r="232">
      <c r="A232" s="1" t="str">
        <f>IFERROR(__xludf.DUMMYFUNCTION("""COMPUTED_VALUE"""),"2410-331")</f>
        <v>2410-331</v>
      </c>
      <c r="B232" s="1" t="str">
        <f>IFERROR(__xludf.DUMMYFUNCTION("""COMPUTED_VALUE"""),"Dickman-La Cresenta-Addition-Garage ADU")</f>
        <v>Dickman-La Cresenta-Addition-Garage ADU</v>
      </c>
      <c r="C232" s="1" t="str">
        <f>IFERROR(__xludf.DUMMYFUNCTION("""COMPUTED_VALUE"""),"A008.2 Architectural Comment Responses")</f>
        <v>A008.2 Architectural Comment Responses</v>
      </c>
      <c r="D232" s="4">
        <f>IFERROR(__xludf.DUMMYFUNCTION("""COMPUTED_VALUE"""),938894.0)</f>
        <v>938894</v>
      </c>
      <c r="E232" s="5" t="s">
        <v>34</v>
      </c>
      <c r="J232" s="2" t="s">
        <v>49</v>
      </c>
      <c r="K232" s="2" t="s">
        <v>36</v>
      </c>
      <c r="L232" s="2" t="s">
        <v>40</v>
      </c>
      <c r="M232" s="5" t="s">
        <v>44</v>
      </c>
      <c r="N232" s="5" t="s">
        <v>27</v>
      </c>
      <c r="O232" s="5" t="s">
        <v>48</v>
      </c>
      <c r="S232" s="6"/>
      <c r="T232" s="6"/>
      <c r="U232" s="6"/>
      <c r="V232" s="6"/>
      <c r="W232" s="6"/>
      <c r="X232" s="6"/>
    </row>
    <row r="233">
      <c r="A233" s="1" t="str">
        <f>IFERROR(__xludf.DUMMYFUNCTION("""COMPUTED_VALUE"""),"2410-330")</f>
        <v>2410-330</v>
      </c>
      <c r="B233" s="1" t="str">
        <f>IFERROR(__xludf.DUMMYFUNCTION("""COMPUTED_VALUE"""),"Zozaya-Los Angeles-Remodel")</f>
        <v>Zozaya-Los Angeles-Remodel</v>
      </c>
      <c r="C233" s="1" t="str">
        <f>IFERROR(__xludf.DUMMYFUNCTION("""COMPUTED_VALUE"""),"A008.5 Structural Engineering Corrections")</f>
        <v>A008.5 Structural Engineering Corrections</v>
      </c>
      <c r="D233" s="4">
        <f>IFERROR(__xludf.DUMMYFUNCTION("""COMPUTED_VALUE"""),938897.0)</f>
        <v>938897</v>
      </c>
      <c r="E233" s="5" t="s">
        <v>20</v>
      </c>
      <c r="F233" s="2"/>
      <c r="J233" s="2" t="s">
        <v>39</v>
      </c>
      <c r="K233" s="2" t="s">
        <v>39</v>
      </c>
      <c r="L233" s="2" t="s">
        <v>47</v>
      </c>
      <c r="M233" s="5" t="s">
        <v>48</v>
      </c>
      <c r="N233" s="5" t="s">
        <v>27</v>
      </c>
      <c r="O233" s="5" t="s">
        <v>37</v>
      </c>
      <c r="S233" s="6"/>
      <c r="T233" s="6"/>
      <c r="U233" s="6"/>
      <c r="V233" s="3">
        <v>46005.48297328704</v>
      </c>
      <c r="W233" s="3">
        <v>46005.48294990741</v>
      </c>
      <c r="X233" s="6"/>
    </row>
    <row r="234">
      <c r="A234" s="1" t="str">
        <f>IFERROR(__xludf.DUMMYFUNCTION("""COMPUTED_VALUE"""),"2410-329")</f>
        <v>2410-329</v>
      </c>
      <c r="B234" s="1" t="str">
        <f>IFERROR(__xludf.DUMMYFUNCTION("""COMPUTED_VALUE"""),"Thurmon Oceanside Daycare CUP")</f>
        <v>Thurmon Oceanside Daycare CUP</v>
      </c>
      <c r="C234" s="1" t="str">
        <f>IFERROR(__xludf.DUMMYFUNCTION("""COMPUTED_VALUE"""),"A008 Submitted - Waiting on Others")</f>
        <v>A008 Submitted - Waiting on Others</v>
      </c>
      <c r="D234" s="4">
        <f>IFERROR(__xludf.DUMMYFUNCTION("""COMPUTED_VALUE"""),936670.0)</f>
        <v>936670</v>
      </c>
      <c r="E234" s="5" t="s">
        <v>34</v>
      </c>
      <c r="J234" s="2" t="s">
        <v>32</v>
      </c>
      <c r="K234" s="2" t="s">
        <v>33</v>
      </c>
      <c r="L234" s="2" t="s">
        <v>42</v>
      </c>
      <c r="M234" s="5" t="s">
        <v>37</v>
      </c>
      <c r="N234" s="5" t="s">
        <v>48</v>
      </c>
      <c r="O234" s="5" t="s">
        <v>24</v>
      </c>
      <c r="S234" s="6"/>
      <c r="T234" s="6"/>
      <c r="U234" s="6"/>
      <c r="V234" s="6"/>
      <c r="W234" s="6"/>
      <c r="X234" s="6"/>
    </row>
    <row r="235">
      <c r="A235" s="1" t="str">
        <f>IFERROR(__xludf.DUMMYFUNCTION("""COMPUTED_VALUE"""),"2410-328")</f>
        <v>2410-328</v>
      </c>
      <c r="B235" s="1" t="str">
        <f>IFERROR(__xludf.DUMMYFUNCTION("""COMPUTED_VALUE"""),"Simons-Granada-Hills-Multi-Family-2-Adus")</f>
        <v>Simons-Granada-Hills-Multi-Family-2-Adus</v>
      </c>
      <c r="C235" s="1" t="str">
        <f>IFERROR(__xludf.DUMMYFUNCTION("""COMPUTED_VALUE"""),"Approved - Construction Phase")</f>
        <v>Approved - Construction Phase</v>
      </c>
      <c r="D235" s="4">
        <f>IFERROR(__xludf.DUMMYFUNCTION("""COMPUTED_VALUE"""),935996.0)</f>
        <v>935996</v>
      </c>
      <c r="E235" s="5" t="s">
        <v>34</v>
      </c>
      <c r="J235" s="2" t="s">
        <v>26</v>
      </c>
      <c r="K235" s="2" t="s">
        <v>35</v>
      </c>
      <c r="L235" s="2" t="s">
        <v>40</v>
      </c>
      <c r="M235" s="5" t="s">
        <v>44</v>
      </c>
      <c r="N235" s="5" t="s">
        <v>24</v>
      </c>
      <c r="O235" s="5" t="s">
        <v>37</v>
      </c>
      <c r="S235" s="6"/>
      <c r="T235" s="6"/>
      <c r="U235" s="6"/>
      <c r="V235" s="6"/>
      <c r="W235" s="6"/>
      <c r="X235" s="6"/>
    </row>
    <row r="236">
      <c r="A236" s="1" t="str">
        <f>IFERROR(__xludf.DUMMYFUNCTION("""COMPUTED_VALUE"""),"2410-327")</f>
        <v>2410-327</v>
      </c>
      <c r="B236" s="1" t="str">
        <f>IFERROR(__xludf.DUMMYFUNCTION("""COMPUTED_VALUE"""),"Gomez-Moreno-Valley-New-SFR-Plans")</f>
        <v>Gomez-Moreno-Valley-New-SFR-Plans</v>
      </c>
      <c r="C236" s="1" t="str">
        <f>IFERROR(__xludf.DUMMYFUNCTION("""COMPUTED_VALUE"""),"A009 Resubmitted")</f>
        <v>A009 Resubmitted</v>
      </c>
      <c r="D236" s="4">
        <f>IFERROR(__xludf.DUMMYFUNCTION("""COMPUTED_VALUE"""),936026.0)</f>
        <v>936026</v>
      </c>
      <c r="E236" s="5" t="s">
        <v>20</v>
      </c>
      <c r="J236" s="2" t="s">
        <v>22</v>
      </c>
      <c r="K236" s="2" t="s">
        <v>40</v>
      </c>
      <c r="L236" s="2" t="s">
        <v>36</v>
      </c>
      <c r="M236" s="2" t="s">
        <v>24</v>
      </c>
      <c r="N236" s="5" t="s">
        <v>48</v>
      </c>
      <c r="O236" s="5" t="s">
        <v>37</v>
      </c>
      <c r="S236" s="3">
        <v>46006.39335515046</v>
      </c>
      <c r="T236" s="6"/>
      <c r="U236" s="6"/>
      <c r="V236" s="6"/>
      <c r="W236" s="6"/>
      <c r="X236" s="6"/>
    </row>
    <row r="237">
      <c r="A237" s="1" t="str">
        <f>IFERROR(__xludf.DUMMYFUNCTION("""COMPUTED_VALUE"""),"2410-326")</f>
        <v>2410-326</v>
      </c>
      <c r="B237" s="1" t="str">
        <f>IFERROR(__xludf.DUMMYFUNCTION("""COMPUTED_VALUE"""),"Downey-Winchester-Patio-Permit")</f>
        <v>Downey-Winchester-Patio-Permit</v>
      </c>
      <c r="C237" s="1" t="str">
        <f>IFERROR(__xludf.DUMMYFUNCTION("""COMPUTED_VALUE"""),"Abandoned,Expired")</f>
        <v>Abandoned,Expired</v>
      </c>
      <c r="D237" s="4">
        <f>IFERROR(__xludf.DUMMYFUNCTION("""COMPUTED_VALUE"""),935240.0)</f>
        <v>935240</v>
      </c>
      <c r="E237" s="5" t="s">
        <v>34</v>
      </c>
      <c r="F237" s="2"/>
      <c r="J237" s="2" t="s">
        <v>49</v>
      </c>
      <c r="K237" s="2" t="s">
        <v>35</v>
      </c>
      <c r="L237" s="2" t="s">
        <v>35</v>
      </c>
      <c r="M237" s="5" t="s">
        <v>37</v>
      </c>
      <c r="N237" s="5" t="s">
        <v>27</v>
      </c>
      <c r="O237" s="5" t="s">
        <v>37</v>
      </c>
      <c r="S237" s="6"/>
      <c r="T237" s="6"/>
      <c r="U237" s="6"/>
      <c r="V237" s="3">
        <v>46006.06967815972</v>
      </c>
      <c r="W237" s="3">
        <v>46006.06965305556</v>
      </c>
      <c r="X237" s="6"/>
    </row>
    <row r="238">
      <c r="A238" s="1" t="str">
        <f>IFERROR(__xludf.DUMMYFUNCTION("""COMPUTED_VALUE"""),"2410-325")</f>
        <v>2410-325</v>
      </c>
      <c r="B238" s="1" t="str">
        <f>IFERROR(__xludf.DUMMYFUNCTION("""COMPUTED_VALUE"""),"CA-Canopy-Encino-Awning-Structural-Plans")</f>
        <v>CA-Canopy-Encino-Awning-Structural-Plans</v>
      </c>
      <c r="C238" s="1" t="str">
        <f>IFERROR(__xludf.DUMMYFUNCTION("""COMPUTED_VALUE"""),"Completed - Sent to Client")</f>
        <v>Completed - Sent to Client</v>
      </c>
      <c r="D238" s="4">
        <f>IFERROR(__xludf.DUMMYFUNCTION("""COMPUTED_VALUE"""),934947.0)</f>
        <v>934947</v>
      </c>
      <c r="E238" s="5" t="s">
        <v>34</v>
      </c>
      <c r="J238" s="2" t="s">
        <v>25</v>
      </c>
      <c r="K238" s="2" t="s">
        <v>33</v>
      </c>
      <c r="L238" s="2" t="s">
        <v>35</v>
      </c>
      <c r="M238" s="5" t="s">
        <v>27</v>
      </c>
      <c r="N238" s="5" t="s">
        <v>48</v>
      </c>
      <c r="O238" s="5" t="s">
        <v>37</v>
      </c>
      <c r="S238" s="6"/>
      <c r="T238" s="6"/>
      <c r="U238" s="6"/>
      <c r="V238" s="6"/>
      <c r="W238" s="6"/>
      <c r="X238" s="6"/>
    </row>
    <row r="239">
      <c r="A239" s="1" t="str">
        <f>IFERROR(__xludf.DUMMYFUNCTION("""COMPUTED_VALUE"""),"2410-324")</f>
        <v>2410-324</v>
      </c>
      <c r="B239" s="1" t="str">
        <f>IFERROR(__xludf.DUMMYFUNCTION("""COMPUTED_VALUE"""),"Hinojos-Riverside-Detached-ADU-Plans")</f>
        <v>Hinojos-Riverside-Detached-ADU-Plans</v>
      </c>
      <c r="C239" s="1" t="str">
        <f>IFERROR(__xludf.DUMMYFUNCTION("""COMPUTED_VALUE"""),"A008 Submitted - Waiting on Others")</f>
        <v>A008 Submitted - Waiting on Others</v>
      </c>
      <c r="D239" s="4">
        <f>IFERROR(__xludf.DUMMYFUNCTION("""COMPUTED_VALUE"""),934204.0)</f>
        <v>934204</v>
      </c>
      <c r="E239" s="5" t="s">
        <v>20</v>
      </c>
      <c r="F239" s="2"/>
      <c r="J239" s="2" t="s">
        <v>35</v>
      </c>
      <c r="K239" s="2" t="s">
        <v>23</v>
      </c>
      <c r="L239" s="2" t="s">
        <v>22</v>
      </c>
      <c r="M239" s="5" t="s">
        <v>37</v>
      </c>
      <c r="N239" s="5" t="s">
        <v>44</v>
      </c>
      <c r="O239" s="2" t="s">
        <v>24</v>
      </c>
      <c r="S239" s="3">
        <v>46005.52824381944</v>
      </c>
      <c r="T239" s="6"/>
      <c r="U239" s="3">
        <v>46006.378191909724</v>
      </c>
      <c r="V239" s="3">
        <v>46005.48349119213</v>
      </c>
      <c r="W239" s="3">
        <v>46005.551691053246</v>
      </c>
      <c r="X239" s="6"/>
    </row>
    <row r="240">
      <c r="A240" s="1" t="str">
        <f>IFERROR(__xludf.DUMMYFUNCTION("""COMPUTED_VALUE"""),"2410-323")</f>
        <v>2410-323</v>
      </c>
      <c r="B240" s="1" t="str">
        <f>IFERROR(__xludf.DUMMYFUNCTION("""COMPUTED_VALUE"""),"Hidden-Farm-Rancho-Cucamonga")</f>
        <v>Hidden-Farm-Rancho-Cucamonga</v>
      </c>
      <c r="C240" s="1" t="str">
        <f>IFERROR(__xludf.DUMMYFUNCTION("""COMPUTED_VALUE"""),"Abandoned,Expired")</f>
        <v>Abandoned,Expired</v>
      </c>
      <c r="D240" s="4">
        <f>IFERROR(__xludf.DUMMYFUNCTION("""COMPUTED_VALUE"""),934194.0)</f>
        <v>934194</v>
      </c>
      <c r="E240" s="5" t="s">
        <v>20</v>
      </c>
      <c r="J240" s="2" t="s">
        <v>32</v>
      </c>
      <c r="K240" s="2" t="s">
        <v>43</v>
      </c>
      <c r="L240" s="2" t="s">
        <v>32</v>
      </c>
      <c r="M240" s="5" t="s">
        <v>24</v>
      </c>
      <c r="N240" s="5" t="s">
        <v>27</v>
      </c>
      <c r="O240" s="5" t="s">
        <v>37</v>
      </c>
      <c r="S240" s="6"/>
      <c r="T240" s="6"/>
      <c r="U240" s="6"/>
      <c r="V240" s="6"/>
      <c r="W240" s="6"/>
      <c r="X240" s="6"/>
    </row>
    <row r="241">
      <c r="A241" s="1" t="str">
        <f>IFERROR(__xludf.DUMMYFUNCTION("""COMPUTED_VALUE"""),"2410-322")</f>
        <v>2410-322</v>
      </c>
      <c r="B241" s="1" t="str">
        <f>IFERROR(__xludf.DUMMYFUNCTION("""COMPUTED_VALUE"""),"Munoz-Great White Label-CUP")</f>
        <v>Munoz-Great White Label-CUP</v>
      </c>
      <c r="C241" s="1" t="str">
        <f>IFERROR(__xludf.DUMMYFUNCTION("""COMPUTED_VALUE"""),"Abandoned,Expired")</f>
        <v>Abandoned,Expired</v>
      </c>
      <c r="D241" s="4">
        <f>IFERROR(__xludf.DUMMYFUNCTION("""COMPUTED_VALUE"""),929555.0)</f>
        <v>929555</v>
      </c>
      <c r="E241" s="5" t="s">
        <v>20</v>
      </c>
      <c r="F241" s="2"/>
      <c r="J241" s="2" t="s">
        <v>35</v>
      </c>
      <c r="K241" s="2" t="s">
        <v>36</v>
      </c>
      <c r="L241" s="2" t="s">
        <v>47</v>
      </c>
      <c r="M241" s="5" t="s">
        <v>44</v>
      </c>
      <c r="N241" s="5" t="s">
        <v>44</v>
      </c>
      <c r="O241" s="5" t="s">
        <v>44</v>
      </c>
      <c r="S241" s="3">
        <v>46005.498161296295</v>
      </c>
      <c r="T241" s="6"/>
      <c r="U241" s="6"/>
      <c r="V241" s="3">
        <v>46005.48381002314</v>
      </c>
      <c r="W241" s="3">
        <v>46005.4837868287</v>
      </c>
      <c r="X241" s="6"/>
    </row>
    <row r="242">
      <c r="A242" s="1" t="str">
        <f>IFERROR(__xludf.DUMMYFUNCTION("""COMPUTED_VALUE"""),"2410-321")</f>
        <v>2410-321</v>
      </c>
      <c r="B242" s="1" t="str">
        <f>IFERROR(__xludf.DUMMYFUNCTION("""COMPUTED_VALUE"""),"Brikho-La-Mesa-Retaining-Wall-Landscape-Plans")</f>
        <v>Brikho-La-Mesa-Retaining-Wall-Landscape-Plans</v>
      </c>
      <c r="C242" s="1" t="str">
        <f>IFERROR(__xludf.DUMMYFUNCTION("""COMPUTED_VALUE"""),"Abandoned,Expired")</f>
        <v>Abandoned,Expired</v>
      </c>
      <c r="D242" s="4">
        <f>IFERROR(__xludf.DUMMYFUNCTION("""COMPUTED_VALUE"""),930355.0)</f>
        <v>930355</v>
      </c>
      <c r="E242" s="5" t="s">
        <v>34</v>
      </c>
      <c r="J242" s="2" t="s">
        <v>47</v>
      </c>
      <c r="K242" s="2" t="s">
        <v>22</v>
      </c>
      <c r="L242" s="2" t="s">
        <v>22</v>
      </c>
      <c r="M242" s="5" t="s">
        <v>24</v>
      </c>
      <c r="N242" s="5" t="s">
        <v>27</v>
      </c>
      <c r="O242" s="5" t="s">
        <v>48</v>
      </c>
      <c r="S242" s="6"/>
      <c r="T242" s="6"/>
      <c r="U242" s="6"/>
      <c r="V242" s="6"/>
      <c r="W242" s="6"/>
      <c r="X242" s="6"/>
    </row>
    <row r="243">
      <c r="A243" s="1" t="str">
        <f>IFERROR(__xludf.DUMMYFUNCTION("""COMPUTED_VALUE"""),"2410-320")</f>
        <v>2410-320</v>
      </c>
      <c r="B243" s="1" t="str">
        <f>IFERROR(__xludf.DUMMYFUNCTION("""COMPUTED_VALUE"""),"Lynch-Arrowhead-Basement-ADU-Deck-Parking-Pad")</f>
        <v>Lynch-Arrowhead-Basement-ADU-Deck-Parking-Pad</v>
      </c>
      <c r="C243" s="1" t="str">
        <f>IFERROR(__xludf.DUMMYFUNCTION("""COMPUTED_VALUE"""),"Approved - Construction Phase")</f>
        <v>Approved - Construction Phase</v>
      </c>
      <c r="D243" s="4">
        <f>IFERROR(__xludf.DUMMYFUNCTION("""COMPUTED_VALUE"""),929464.0)</f>
        <v>929464</v>
      </c>
      <c r="E243" s="5" t="s">
        <v>20</v>
      </c>
      <c r="F243" s="2"/>
      <c r="J243" s="2" t="s">
        <v>39</v>
      </c>
      <c r="K243" s="2" t="s">
        <v>43</v>
      </c>
      <c r="L243" s="2" t="s">
        <v>33</v>
      </c>
      <c r="M243" s="5" t="s">
        <v>27</v>
      </c>
      <c r="N243" s="5" t="s">
        <v>44</v>
      </c>
      <c r="O243" s="5" t="s">
        <v>44</v>
      </c>
      <c r="S243" s="3">
        <v>46006.02199006944</v>
      </c>
      <c r="T243" s="6"/>
      <c r="U243" s="6"/>
      <c r="V243" s="3">
        <v>46005.49569541667</v>
      </c>
      <c r="W243" s="3">
        <v>46005.4957567824</v>
      </c>
      <c r="X243" s="6"/>
    </row>
    <row r="244">
      <c r="A244" s="1" t="str">
        <f>IFERROR(__xludf.DUMMYFUNCTION("""COMPUTED_VALUE"""),"2410-319")</f>
        <v>2410-319</v>
      </c>
      <c r="B244" s="1" t="str">
        <f>IFERROR(__xludf.DUMMYFUNCTION("""COMPUTED_VALUE"""),"Reilly-Fullerton-ADU")</f>
        <v>Reilly-Fullerton-ADU</v>
      </c>
      <c r="C244" s="1" t="str">
        <f>IFERROR(__xludf.DUMMYFUNCTION("""COMPUTED_VALUE"""),"Paused - Stalled by 3rd Party")</f>
        <v>Paused - Stalled by 3rd Party</v>
      </c>
      <c r="D244" s="4">
        <f>IFERROR(__xludf.DUMMYFUNCTION("""COMPUTED_VALUE"""),927376.0)</f>
        <v>927376</v>
      </c>
      <c r="E244" s="5" t="s">
        <v>20</v>
      </c>
      <c r="J244" s="2" t="s">
        <v>23</v>
      </c>
      <c r="K244" s="2" t="s">
        <v>36</v>
      </c>
      <c r="L244" s="2" t="s">
        <v>33</v>
      </c>
      <c r="M244" s="5" t="s">
        <v>44</v>
      </c>
      <c r="N244" s="5" t="s">
        <v>37</v>
      </c>
      <c r="O244" s="5" t="s">
        <v>48</v>
      </c>
      <c r="S244" s="6"/>
      <c r="T244" s="6"/>
      <c r="U244" s="6"/>
      <c r="V244" s="6"/>
      <c r="W244" s="6"/>
      <c r="X244" s="6"/>
    </row>
    <row r="245">
      <c r="A245" s="1" t="str">
        <f>IFERROR(__xludf.DUMMYFUNCTION("""COMPUTED_VALUE"""),"2410-318")</f>
        <v>2410-318</v>
      </c>
      <c r="B245" s="1" t="str">
        <f>IFERROR(__xludf.DUMMYFUNCTION("""COMPUTED_VALUE"""),"Santos-Tustin-Storage")</f>
        <v>Santos-Tustin-Storage</v>
      </c>
      <c r="C245" s="1" t="str">
        <f>IFERROR(__xludf.DUMMYFUNCTION("""COMPUTED_VALUE"""),"Approved - Construction Phase")</f>
        <v>Approved - Construction Phase</v>
      </c>
      <c r="D245" s="4">
        <f>IFERROR(__xludf.DUMMYFUNCTION("""COMPUTED_VALUE"""),927397.0)</f>
        <v>927397</v>
      </c>
      <c r="E245" s="5" t="s">
        <v>34</v>
      </c>
      <c r="J245" s="2" t="s">
        <v>42</v>
      </c>
      <c r="K245" s="2" t="s">
        <v>25</v>
      </c>
      <c r="L245" s="2" t="s">
        <v>33</v>
      </c>
      <c r="M245" s="5" t="s">
        <v>27</v>
      </c>
      <c r="N245" s="5" t="s">
        <v>37</v>
      </c>
      <c r="O245" s="5" t="s">
        <v>48</v>
      </c>
      <c r="S245" s="6"/>
      <c r="T245" s="6"/>
      <c r="U245" s="6"/>
      <c r="V245" s="6"/>
      <c r="W245" s="6"/>
      <c r="X245" s="6"/>
    </row>
    <row r="246">
      <c r="A246" s="1" t="str">
        <f>IFERROR(__xludf.DUMMYFUNCTION("""COMPUTED_VALUE"""),"2410-317")</f>
        <v>2410-317</v>
      </c>
      <c r="B246" s="1" t="str">
        <f>IFERROR(__xludf.DUMMYFUNCTION("""COMPUTED_VALUE"""),"Cornejo-Hemet-Development-Study")</f>
        <v>Cornejo-Hemet-Development-Study</v>
      </c>
      <c r="C246" s="1" t="str">
        <f>IFERROR(__xludf.DUMMYFUNCTION("""COMPUTED_VALUE"""),"Abandoned,Expired")</f>
        <v>Abandoned,Expired</v>
      </c>
      <c r="D246" s="4">
        <f>IFERROR(__xludf.DUMMYFUNCTION("""COMPUTED_VALUE"""),930337.0)</f>
        <v>930337</v>
      </c>
      <c r="E246" s="5" t="s">
        <v>20</v>
      </c>
      <c r="J246" s="2" t="s">
        <v>33</v>
      </c>
      <c r="K246" s="2" t="s">
        <v>49</v>
      </c>
      <c r="L246" s="2" t="s">
        <v>49</v>
      </c>
      <c r="M246" s="5" t="s">
        <v>24</v>
      </c>
      <c r="N246" s="5" t="s">
        <v>24</v>
      </c>
      <c r="O246" s="5" t="s">
        <v>24</v>
      </c>
      <c r="S246" s="6"/>
      <c r="T246" s="6"/>
      <c r="U246" s="6"/>
      <c r="V246" s="6"/>
      <c r="W246" s="6"/>
      <c r="X246" s="6"/>
    </row>
    <row r="247">
      <c r="A247" s="1" t="str">
        <f>IFERROR(__xludf.DUMMYFUNCTION("""COMPUTED_VALUE"""),"2410-316")</f>
        <v>2410-316</v>
      </c>
      <c r="B247" s="1" t="str">
        <f>IFERROR(__xludf.DUMMYFUNCTION("""COMPUTED_VALUE"""),"Dikkers-LA-Elevated Studio")</f>
        <v>Dikkers-LA-Elevated Studio</v>
      </c>
      <c r="C247" s="1" t="str">
        <f>IFERROR(__xludf.DUMMYFUNCTION("""COMPUTED_VALUE"""),"A008.6 Arch Packaging Re-Submittal")</f>
        <v>A008.6 Arch Packaging Re-Submittal</v>
      </c>
      <c r="D247" s="4">
        <f>IFERROR(__xludf.DUMMYFUNCTION("""COMPUTED_VALUE"""),927745.0)</f>
        <v>927745</v>
      </c>
      <c r="E247" s="5" t="s">
        <v>20</v>
      </c>
      <c r="J247" s="2" t="s">
        <v>32</v>
      </c>
      <c r="K247" s="2" t="s">
        <v>26</v>
      </c>
      <c r="L247" s="2" t="s">
        <v>35</v>
      </c>
      <c r="M247" s="5" t="s">
        <v>48</v>
      </c>
      <c r="N247" s="5" t="s">
        <v>37</v>
      </c>
      <c r="O247" s="5" t="s">
        <v>27</v>
      </c>
      <c r="S247" s="6"/>
      <c r="T247" s="6"/>
      <c r="U247" s="6"/>
      <c r="V247" s="6"/>
      <c r="W247" s="6"/>
      <c r="X247" s="6"/>
    </row>
    <row r="248">
      <c r="A248" s="1" t="str">
        <f>IFERROR(__xludf.DUMMYFUNCTION("""COMPUTED_VALUE"""),"2410-315")</f>
        <v>2410-315</v>
      </c>
      <c r="B248" s="1" t="str">
        <f>IFERROR(__xludf.DUMMYFUNCTION("""COMPUTED_VALUE"""),"Dennys-Lakewood-TI-Crash Repairs")</f>
        <v>Dennys-Lakewood-TI-Crash Repairs</v>
      </c>
      <c r="C248" s="1" t="str">
        <f>IFERROR(__xludf.DUMMYFUNCTION("""COMPUTED_VALUE"""),"Abandoned,Expired")</f>
        <v>Abandoned,Expired</v>
      </c>
      <c r="D248" s="4">
        <f>IFERROR(__xludf.DUMMYFUNCTION("""COMPUTED_VALUE"""),928815.0)</f>
        <v>928815</v>
      </c>
      <c r="E248" s="5" t="s">
        <v>34</v>
      </c>
      <c r="J248" s="2" t="s">
        <v>49</v>
      </c>
      <c r="K248" s="2" t="s">
        <v>22</v>
      </c>
      <c r="L248" s="2" t="s">
        <v>33</v>
      </c>
      <c r="M248" s="5" t="s">
        <v>37</v>
      </c>
      <c r="N248" s="2" t="s">
        <v>24</v>
      </c>
      <c r="O248" s="5" t="s">
        <v>24</v>
      </c>
      <c r="S248" s="6"/>
      <c r="T248" s="3">
        <v>46007.01217934028</v>
      </c>
      <c r="U248" s="6"/>
      <c r="V248" s="6"/>
      <c r="W248" s="6"/>
      <c r="X248" s="6"/>
    </row>
    <row r="249">
      <c r="A249" s="1" t="str">
        <f>IFERROR(__xludf.DUMMYFUNCTION("""COMPUTED_VALUE"""),"2410-314")</f>
        <v>2410-314</v>
      </c>
      <c r="B249" s="1" t="str">
        <f>IFERROR(__xludf.DUMMYFUNCTION("""COMPUTED_VALUE"""),"Gurney-RPV-Remodel-Addition-ADU")</f>
        <v>Gurney-RPV-Remodel-Addition-ADU</v>
      </c>
      <c r="C249" s="1" t="str">
        <f>IFERROR(__xludf.DUMMYFUNCTION("""COMPUTED_VALUE"""),"A008 Submitted - Waiting on Others")</f>
        <v>A008 Submitted - Waiting on Others</v>
      </c>
      <c r="D249" s="4">
        <f>IFERROR(__xludf.DUMMYFUNCTION("""COMPUTED_VALUE"""),918685.0)</f>
        <v>918685</v>
      </c>
      <c r="E249" s="5" t="s">
        <v>34</v>
      </c>
      <c r="F249" s="2"/>
      <c r="J249" s="2" t="s">
        <v>25</v>
      </c>
      <c r="K249" s="2" t="s">
        <v>51</v>
      </c>
      <c r="L249" s="2" t="s">
        <v>36</v>
      </c>
      <c r="M249" s="5" t="s">
        <v>27</v>
      </c>
      <c r="N249" s="5" t="s">
        <v>24</v>
      </c>
      <c r="O249" s="5" t="s">
        <v>48</v>
      </c>
      <c r="S249" s="3">
        <v>46006.05668792824</v>
      </c>
      <c r="T249" s="6"/>
      <c r="U249" s="6"/>
      <c r="V249" s="3">
        <v>46006.03800730324</v>
      </c>
      <c r="W249" s="3">
        <v>46005.49644159722</v>
      </c>
      <c r="X249" s="6"/>
    </row>
    <row r="250">
      <c r="A250" s="1" t="str">
        <f>IFERROR(__xludf.DUMMYFUNCTION("""COMPUTED_VALUE"""),"2410-313")</f>
        <v>2410-313</v>
      </c>
      <c r="B250" s="1" t="str">
        <f>IFERROR(__xludf.DUMMYFUNCTION("""COMPUTED_VALUE"""),"Kikos-Highland-TI Plans")</f>
        <v>Kikos-Highland-TI Plans</v>
      </c>
      <c r="C250" s="1" t="str">
        <f>IFERROR(__xludf.DUMMYFUNCTION("""COMPUTED_VALUE"""),"Approved - Construction Phase")</f>
        <v>Approved - Construction Phase</v>
      </c>
      <c r="D250" s="4">
        <f>IFERROR(__xludf.DUMMYFUNCTION("""COMPUTED_VALUE"""),917717.0)</f>
        <v>917717</v>
      </c>
      <c r="E250" s="5" t="s">
        <v>34</v>
      </c>
      <c r="J250" s="2" t="s">
        <v>51</v>
      </c>
      <c r="K250" s="2" t="s">
        <v>51</v>
      </c>
      <c r="L250" s="2" t="s">
        <v>39</v>
      </c>
      <c r="M250" s="5" t="s">
        <v>27</v>
      </c>
      <c r="N250" s="5" t="s">
        <v>24</v>
      </c>
      <c r="O250" s="5" t="s">
        <v>24</v>
      </c>
      <c r="S250" s="6"/>
      <c r="T250" s="6"/>
      <c r="U250" s="6"/>
      <c r="V250" s="6"/>
      <c r="W250" s="6"/>
      <c r="X250" s="6"/>
    </row>
    <row r="251">
      <c r="A251" s="1" t="str">
        <f>IFERROR(__xludf.DUMMYFUNCTION("""COMPUTED_VALUE"""),"2410-312")</f>
        <v>2410-312</v>
      </c>
      <c r="B251" s="1" t="str">
        <f>IFERROR(__xludf.DUMMYFUNCTION("""COMPUTED_VALUE"""),"Zelenay-Sherman Oaks-Remodel")</f>
        <v>Zelenay-Sherman Oaks-Remodel</v>
      </c>
      <c r="C251" s="1" t="str">
        <f>IFERROR(__xludf.DUMMYFUNCTION("""COMPUTED_VALUE"""),"A008.5 Structural Engineering Corrections")</f>
        <v>A008.5 Structural Engineering Corrections</v>
      </c>
      <c r="D251" s="4">
        <f>IFERROR(__xludf.DUMMYFUNCTION("""COMPUTED_VALUE"""),916698.0)</f>
        <v>916698</v>
      </c>
      <c r="E251" s="5" t="s">
        <v>20</v>
      </c>
      <c r="F251" s="2"/>
      <c r="J251" s="2" t="s">
        <v>26</v>
      </c>
      <c r="K251" s="2" t="s">
        <v>23</v>
      </c>
      <c r="L251" s="2" t="s">
        <v>35</v>
      </c>
      <c r="M251" s="5" t="s">
        <v>24</v>
      </c>
      <c r="N251" s="5" t="s">
        <v>24</v>
      </c>
      <c r="O251" s="5" t="s">
        <v>24</v>
      </c>
      <c r="S251" s="3">
        <v>46005.5136158449</v>
      </c>
      <c r="T251" s="6"/>
      <c r="U251" s="6"/>
      <c r="V251" s="3">
        <v>46005.4841815625</v>
      </c>
      <c r="W251" s="3">
        <v>46005.55089265046</v>
      </c>
      <c r="X251" s="6"/>
    </row>
    <row r="252">
      <c r="A252" s="1" t="str">
        <f>IFERROR(__xludf.DUMMYFUNCTION("""COMPUTED_VALUE"""),"2410-311")</f>
        <v>2410-311</v>
      </c>
      <c r="B252" s="1" t="str">
        <f>IFERROR(__xludf.DUMMYFUNCTION("""COMPUTED_VALUE"""),"Neufeld-Newport-Room over Garage")</f>
        <v>Neufeld-Newport-Room over Garage</v>
      </c>
      <c r="C252" s="1" t="str">
        <f>IFERROR(__xludf.DUMMYFUNCTION("""COMPUTED_VALUE"""),"Abandoned,Expired")</f>
        <v>Abandoned,Expired</v>
      </c>
      <c r="D252" s="4">
        <f>IFERROR(__xludf.DUMMYFUNCTION("""COMPUTED_VALUE"""),916747.0)</f>
        <v>916747</v>
      </c>
      <c r="E252" s="5" t="s">
        <v>20</v>
      </c>
      <c r="J252" s="2" t="s">
        <v>26</v>
      </c>
      <c r="K252" s="2" t="s">
        <v>25</v>
      </c>
      <c r="L252" s="2" t="s">
        <v>32</v>
      </c>
      <c r="M252" s="5" t="s">
        <v>27</v>
      </c>
      <c r="N252" s="5" t="s">
        <v>44</v>
      </c>
      <c r="O252" s="5" t="s">
        <v>24</v>
      </c>
      <c r="S252" s="6"/>
      <c r="T252" s="6"/>
      <c r="U252" s="6"/>
      <c r="V252" s="6"/>
      <c r="W252" s="6"/>
      <c r="X252" s="6"/>
    </row>
    <row r="253">
      <c r="A253" s="1" t="str">
        <f>IFERROR(__xludf.DUMMYFUNCTION("""COMPUTED_VALUE"""),"2410-310")</f>
        <v>2410-310</v>
      </c>
      <c r="B253" s="1" t="str">
        <f>IFERROR(__xludf.DUMMYFUNCTION("""COMPUTED_VALUE"""),"Coseo-Rice-Carlsbad-Remodel")</f>
        <v>Coseo-Rice-Carlsbad-Remodel</v>
      </c>
      <c r="C253" s="1" t="str">
        <f>IFERROR(__xludf.DUMMYFUNCTION("""COMPUTED_VALUE"""),"Abandoned,Expired")</f>
        <v>Abandoned,Expired</v>
      </c>
      <c r="D253" s="4">
        <f>IFERROR(__xludf.DUMMYFUNCTION("""COMPUTED_VALUE"""),916462.0)</f>
        <v>916462</v>
      </c>
      <c r="E253" s="5" t="s">
        <v>34</v>
      </c>
      <c r="F253" s="2"/>
      <c r="J253" s="2" t="s">
        <v>49</v>
      </c>
      <c r="K253" s="2" t="s">
        <v>49</v>
      </c>
      <c r="L253" s="2" t="s">
        <v>42</v>
      </c>
      <c r="M253" s="5" t="s">
        <v>27</v>
      </c>
      <c r="N253" s="5" t="s">
        <v>44</v>
      </c>
      <c r="O253" s="5" t="s">
        <v>27</v>
      </c>
      <c r="S253" s="6"/>
      <c r="T253" s="6"/>
      <c r="U253" s="6"/>
      <c r="V253" s="3">
        <v>46006.01530590278</v>
      </c>
      <c r="W253" s="3">
        <v>46005.56396809028</v>
      </c>
      <c r="X253" s="6"/>
    </row>
    <row r="254">
      <c r="A254" s="1" t="str">
        <f>IFERROR(__xludf.DUMMYFUNCTION("""COMPUTED_VALUE"""),"2410-150")</f>
        <v>2410-150</v>
      </c>
      <c r="B254" s="1" t="str">
        <f>IFERROR(__xludf.DUMMYFUNCTION("""COMPUTED_VALUE"""),"PSG Small Jobs")</f>
        <v>PSG Small Jobs</v>
      </c>
      <c r="C254" s="1" t="str">
        <f>IFERROR(__xludf.DUMMYFUNCTION("""COMPUTED_VALUE"""),"A001 Estimate, Proposal &amp; Project Data")</f>
        <v>A001 Estimate, Proposal &amp; Project Data</v>
      </c>
      <c r="D254" s="4">
        <f>IFERROR(__xludf.DUMMYFUNCTION("""COMPUTED_VALUE"""),908644.0)</f>
        <v>908644</v>
      </c>
      <c r="E254" s="5" t="s">
        <v>20</v>
      </c>
      <c r="J254" s="2" t="s">
        <v>32</v>
      </c>
      <c r="K254" s="2" t="s">
        <v>47</v>
      </c>
      <c r="L254" s="2" t="s">
        <v>42</v>
      </c>
      <c r="M254" s="5" t="s">
        <v>27</v>
      </c>
      <c r="N254" s="5" t="s">
        <v>27</v>
      </c>
      <c r="O254" s="5" t="s">
        <v>37</v>
      </c>
      <c r="S254" s="6"/>
      <c r="T254" s="6"/>
      <c r="U254" s="6"/>
      <c r="V254" s="6"/>
      <c r="W254" s="6"/>
      <c r="X254" s="6"/>
    </row>
    <row r="255">
      <c r="A255" s="1" t="str">
        <f>IFERROR(__xludf.DUMMYFUNCTION("""COMPUTED_VALUE"""),"2410-105")</f>
        <v>2410-105</v>
      </c>
      <c r="B255" s="1" t="str">
        <f>IFERROR(__xludf.DUMMYFUNCTION("""COMPUTED_VALUE"""),"Jason Pan As-Built Scan")</f>
        <v>Jason Pan As-Built Scan</v>
      </c>
      <c r="C255" s="1" t="str">
        <f>IFERROR(__xludf.DUMMYFUNCTION("""COMPUTED_VALUE"""),"Approved - Construction Phase")</f>
        <v>Approved - Construction Phase</v>
      </c>
      <c r="D255" s="4">
        <f>IFERROR(__xludf.DUMMYFUNCTION("""COMPUTED_VALUE"""),935350.0)</f>
        <v>935350</v>
      </c>
      <c r="E255" s="5" t="s">
        <v>34</v>
      </c>
      <c r="F255" s="2"/>
      <c r="J255" s="2" t="s">
        <v>49</v>
      </c>
      <c r="K255" s="2" t="s">
        <v>35</v>
      </c>
      <c r="L255" s="2" t="s">
        <v>47</v>
      </c>
      <c r="M255" s="5" t="s">
        <v>48</v>
      </c>
      <c r="N255" s="5" t="s">
        <v>48</v>
      </c>
      <c r="O255" s="5" t="s">
        <v>44</v>
      </c>
      <c r="S255" s="6"/>
      <c r="T255" s="6"/>
      <c r="U255" s="6"/>
      <c r="V255" s="3">
        <v>46005.48548025463</v>
      </c>
      <c r="W255" s="3">
        <v>46005.48547215278</v>
      </c>
      <c r="X255" s="6"/>
    </row>
    <row r="256">
      <c r="A256" s="1" t="str">
        <f>IFERROR(__xludf.DUMMYFUNCTION("""COMPUTED_VALUE"""),"2410-104")</f>
        <v>2410-104</v>
      </c>
      <c r="B256" s="1" t="str">
        <f>IFERROR(__xludf.DUMMYFUNCTION("""COMPUTED_VALUE"""),"Darhooneh-Multi-Family-Plan Review")</f>
        <v>Darhooneh-Multi-Family-Plan Review</v>
      </c>
      <c r="C256" s="1" t="str">
        <f>IFERROR(__xludf.DUMMYFUNCTION("""COMPUTED_VALUE"""),"Completed - Sent to Client")</f>
        <v>Completed - Sent to Client</v>
      </c>
      <c r="D256" s="4">
        <f>IFERROR(__xludf.DUMMYFUNCTION("""COMPUTED_VALUE"""),916733.0)</f>
        <v>916733</v>
      </c>
      <c r="E256" s="5" t="s">
        <v>20</v>
      </c>
      <c r="J256" s="2" t="s">
        <v>26</v>
      </c>
      <c r="K256" s="2" t="s">
        <v>40</v>
      </c>
      <c r="L256" s="2" t="s">
        <v>35</v>
      </c>
      <c r="M256" s="5" t="s">
        <v>37</v>
      </c>
      <c r="N256" s="5" t="s">
        <v>48</v>
      </c>
      <c r="O256" s="5" t="s">
        <v>24</v>
      </c>
      <c r="S256" s="6"/>
      <c r="T256" s="6"/>
      <c r="U256" s="6"/>
      <c r="V256" s="6"/>
      <c r="W256" s="6"/>
      <c r="X256" s="6"/>
    </row>
    <row r="257">
      <c r="A257" s="1" t="str">
        <f>IFERROR(__xludf.DUMMYFUNCTION("""COMPUTED_VALUE"""),"2410-102")</f>
        <v>2410-102</v>
      </c>
      <c r="B257" s="1" t="str">
        <f>IFERROR(__xludf.DUMMYFUNCTION("""COMPUTED_VALUE"""),"Burlington Coat Structural Observation")</f>
        <v>Burlington Coat Structural Observation</v>
      </c>
      <c r="C257" s="1" t="str">
        <f>IFERROR(__xludf.DUMMYFUNCTION("""COMPUTED_VALUE"""),"Approved - Construction Phase")</f>
        <v>Approved - Construction Phase</v>
      </c>
      <c r="D257" s="4">
        <f>IFERROR(__xludf.DUMMYFUNCTION("""COMPUTED_VALUE"""),935354.0)</f>
        <v>935354</v>
      </c>
      <c r="E257" s="5" t="s">
        <v>20</v>
      </c>
      <c r="F257" s="2"/>
      <c r="J257" s="2" t="s">
        <v>36</v>
      </c>
      <c r="K257" s="2" t="s">
        <v>42</v>
      </c>
      <c r="L257" s="2" t="s">
        <v>50</v>
      </c>
      <c r="M257" s="5" t="s">
        <v>24</v>
      </c>
      <c r="N257" s="5" t="s">
        <v>27</v>
      </c>
      <c r="O257" s="5" t="s">
        <v>37</v>
      </c>
      <c r="S257" s="6"/>
      <c r="T257" s="6"/>
      <c r="U257" s="6"/>
      <c r="V257" s="3">
        <v>46005.49749847222</v>
      </c>
      <c r="W257" s="3">
        <v>46005.49747996528</v>
      </c>
      <c r="X257" s="6"/>
    </row>
    <row r="258">
      <c r="A258" s="1" t="str">
        <f>IFERROR(__xludf.DUMMYFUNCTION("""COMPUTED_VALUE"""),"2410-101")</f>
        <v>2410-101</v>
      </c>
      <c r="B258" s="1" t="str">
        <f>IFERROR(__xludf.DUMMYFUNCTION("""COMPUTED_VALUE"""),"Weiner As-Built Plan")</f>
        <v>Weiner As-Built Plan</v>
      </c>
      <c r="C258" s="1" t="str">
        <f>IFERROR(__xludf.DUMMYFUNCTION("""COMPUTED_VALUE"""),"Completed - Sent to Client")</f>
        <v>Completed - Sent to Client</v>
      </c>
      <c r="D258" s="4">
        <f>IFERROR(__xludf.DUMMYFUNCTION("""COMPUTED_VALUE"""),935353.0)</f>
        <v>935353</v>
      </c>
      <c r="E258" s="5" t="s">
        <v>34</v>
      </c>
      <c r="J258" s="2" t="s">
        <v>22</v>
      </c>
      <c r="K258" s="2" t="s">
        <v>35</v>
      </c>
      <c r="L258" s="2" t="s">
        <v>22</v>
      </c>
      <c r="M258" s="2" t="s">
        <v>54</v>
      </c>
      <c r="N258" s="5" t="s">
        <v>37</v>
      </c>
      <c r="O258" s="5" t="s">
        <v>37</v>
      </c>
      <c r="S258" s="3">
        <v>46006.39319667824</v>
      </c>
      <c r="T258" s="6"/>
      <c r="U258" s="6"/>
      <c r="V258" s="6"/>
      <c r="W258" s="6"/>
      <c r="X258" s="6"/>
    </row>
    <row r="259">
      <c r="A259" s="1" t="str">
        <f>IFERROR(__xludf.DUMMYFUNCTION("""COMPUTED_VALUE"""),"2409-309")</f>
        <v>2409-309</v>
      </c>
      <c r="B259" s="1" t="str">
        <f>IFERROR(__xludf.DUMMYFUNCTION("""COMPUTED_VALUE"""),"Bertotti-Riverside-Garage-ADU-Permitting")</f>
        <v>Bertotti-Riverside-Garage-ADU-Permitting</v>
      </c>
      <c r="C259" s="1" t="str">
        <f>IFERROR(__xludf.DUMMYFUNCTION("""COMPUTED_VALUE"""),"Abandoned,Expired")</f>
        <v>Abandoned,Expired</v>
      </c>
      <c r="D259" s="4">
        <f>IFERROR(__xludf.DUMMYFUNCTION("""COMPUTED_VALUE"""),915194.0)</f>
        <v>915194</v>
      </c>
      <c r="E259" s="5" t="s">
        <v>34</v>
      </c>
      <c r="J259" s="2" t="s">
        <v>47</v>
      </c>
      <c r="K259" s="2" t="s">
        <v>25</v>
      </c>
      <c r="L259" s="2" t="s">
        <v>51</v>
      </c>
      <c r="M259" s="5" t="s">
        <v>48</v>
      </c>
      <c r="N259" s="5" t="s">
        <v>48</v>
      </c>
      <c r="O259" s="5" t="s">
        <v>37</v>
      </c>
      <c r="S259" s="6"/>
      <c r="T259" s="6"/>
      <c r="U259" s="6"/>
      <c r="V259" s="6"/>
      <c r="W259" s="6"/>
      <c r="X259" s="6"/>
    </row>
    <row r="260">
      <c r="A260" s="1" t="str">
        <f>IFERROR(__xludf.DUMMYFUNCTION("""COMPUTED_VALUE"""),"2409-308")</f>
        <v>2409-308</v>
      </c>
      <c r="B260" s="1" t="str">
        <f>IFERROR(__xludf.DUMMYFUNCTION("""COMPUTED_VALUE"""),"Naran-LA-Remodel-Addition-Deck-ADU")</f>
        <v>Naran-LA-Remodel-Addition-Deck-ADU</v>
      </c>
      <c r="C260" s="1" t="str">
        <f>IFERROR(__xludf.DUMMYFUNCTION("""COMPUTED_VALUE"""),"A007 Plan Detailing for Submittal")</f>
        <v>A007 Plan Detailing for Submittal</v>
      </c>
      <c r="D260" s="4">
        <f>IFERROR(__xludf.DUMMYFUNCTION("""COMPUTED_VALUE"""),914583.0)</f>
        <v>914583</v>
      </c>
      <c r="E260" s="5" t="s">
        <v>34</v>
      </c>
      <c r="J260" s="2" t="s">
        <v>35</v>
      </c>
      <c r="K260" s="2" t="s">
        <v>36</v>
      </c>
      <c r="L260" s="2" t="s">
        <v>43</v>
      </c>
      <c r="M260" s="5" t="s">
        <v>44</v>
      </c>
      <c r="N260" s="5" t="s">
        <v>24</v>
      </c>
      <c r="O260" s="5" t="s">
        <v>44</v>
      </c>
      <c r="S260" s="6"/>
      <c r="T260" s="6"/>
      <c r="U260" s="6"/>
      <c r="V260" s="6"/>
      <c r="W260" s="6"/>
      <c r="X260" s="6"/>
    </row>
    <row r="261">
      <c r="A261" s="1" t="str">
        <f>IFERROR(__xludf.DUMMYFUNCTION("""COMPUTED_VALUE"""),"2409-307")</f>
        <v>2409-307</v>
      </c>
      <c r="B261" s="1" t="str">
        <f>IFERROR(__xludf.DUMMYFUNCTION("""COMPUTED_VALUE"""),"Chen-Gilboa-Tujunga-New SFR")</f>
        <v>Chen-Gilboa-Tujunga-New SFR</v>
      </c>
      <c r="C261" s="1" t="str">
        <f>IFERROR(__xludf.DUMMYFUNCTION("""COMPUTED_VALUE"""),"A008 Submitted - Waiting on Others")</f>
        <v>A008 Submitted - Waiting on Others</v>
      </c>
      <c r="D261" s="4">
        <f>IFERROR(__xludf.DUMMYFUNCTION("""COMPUTED_VALUE"""),914548.0)</f>
        <v>914548</v>
      </c>
      <c r="E261" s="5" t="s">
        <v>34</v>
      </c>
      <c r="J261" s="2" t="s">
        <v>35</v>
      </c>
      <c r="K261" s="2" t="s">
        <v>26</v>
      </c>
      <c r="L261" s="2" t="s">
        <v>22</v>
      </c>
      <c r="M261" s="5" t="s">
        <v>37</v>
      </c>
      <c r="N261" s="5" t="s">
        <v>27</v>
      </c>
      <c r="O261" s="5" t="s">
        <v>24</v>
      </c>
      <c r="S261" s="6"/>
      <c r="T261" s="6"/>
      <c r="U261" s="6"/>
      <c r="V261" s="6"/>
      <c r="W261" s="6"/>
      <c r="X261" s="6"/>
    </row>
    <row r="262">
      <c r="A262" s="1" t="str">
        <f>IFERROR(__xludf.DUMMYFUNCTION("""COMPUTED_VALUE"""),"2409-306")</f>
        <v>2409-306</v>
      </c>
      <c r="B262" s="1" t="str">
        <f>IFERROR(__xludf.DUMMYFUNCTION("""COMPUTED_VALUE"""),"Silva-El-Cajon-Garage-Adu-Conversion")</f>
        <v>Silva-El-Cajon-Garage-Adu-Conversion</v>
      </c>
      <c r="C262" s="1" t="str">
        <f>IFERROR(__xludf.DUMMYFUNCTION("""COMPUTED_VALUE"""),"Approved - Construction Phase")</f>
        <v>Approved - Construction Phase</v>
      </c>
      <c r="D262" s="4">
        <f>IFERROR(__xludf.DUMMYFUNCTION("""COMPUTED_VALUE"""),912524.0)</f>
        <v>912524</v>
      </c>
      <c r="E262" s="5" t="s">
        <v>34</v>
      </c>
      <c r="J262" s="2" t="s">
        <v>33</v>
      </c>
      <c r="K262" s="2" t="s">
        <v>32</v>
      </c>
      <c r="L262" s="2" t="s">
        <v>25</v>
      </c>
      <c r="M262" s="5" t="s">
        <v>44</v>
      </c>
      <c r="N262" s="5" t="s">
        <v>27</v>
      </c>
      <c r="O262" s="5" t="s">
        <v>27</v>
      </c>
      <c r="S262" s="6"/>
      <c r="T262" s="6"/>
      <c r="U262" s="6"/>
      <c r="V262" s="6"/>
      <c r="W262" s="6"/>
      <c r="X262" s="6"/>
    </row>
    <row r="263">
      <c r="A263" s="1" t="str">
        <f>IFERROR(__xludf.DUMMYFUNCTION("""COMPUTED_VALUE"""),"2409-305")</f>
        <v>2409-305</v>
      </c>
      <c r="B263" s="1" t="str">
        <f>IFERROR(__xludf.DUMMYFUNCTION("""COMPUTED_VALUE"""),"Burr-San-Bernardino-Barn-Permitting")</f>
        <v>Burr-San-Bernardino-Barn-Permitting</v>
      </c>
      <c r="C263" s="1" t="str">
        <f>IFERROR(__xludf.DUMMYFUNCTION("""COMPUTED_VALUE"""),"A009 Resubmitted")</f>
        <v>A009 Resubmitted</v>
      </c>
      <c r="D263" s="4">
        <f>IFERROR(__xludf.DUMMYFUNCTION("""COMPUTED_VALUE"""),912523.0)</f>
        <v>912523</v>
      </c>
      <c r="E263" s="5" t="s">
        <v>34</v>
      </c>
      <c r="J263" s="2" t="s">
        <v>35</v>
      </c>
      <c r="K263" s="2" t="s">
        <v>40</v>
      </c>
      <c r="L263" s="2" t="s">
        <v>23</v>
      </c>
      <c r="M263" s="5" t="s">
        <v>27</v>
      </c>
      <c r="N263" s="5" t="s">
        <v>44</v>
      </c>
      <c r="O263" s="5" t="s">
        <v>44</v>
      </c>
      <c r="S263" s="6"/>
      <c r="T263" s="6"/>
      <c r="U263" s="3">
        <v>46005.221997361106</v>
      </c>
      <c r="V263" s="6"/>
      <c r="W263" s="6"/>
      <c r="X263" s="6"/>
    </row>
    <row r="264">
      <c r="A264" s="1" t="str">
        <f>IFERROR(__xludf.DUMMYFUNCTION("""COMPUTED_VALUE"""),"2409-304")</f>
        <v>2409-304</v>
      </c>
      <c r="B264" s="1" t="str">
        <f>IFERROR(__xludf.DUMMYFUNCTION("""COMPUTED_VALUE"""),"Ribons-West-Hills-New-SFR-&amp;-ADU-Lot-Split")</f>
        <v>Ribons-West-Hills-New-SFR-&amp;-ADU-Lot-Split</v>
      </c>
      <c r="C264" s="1" t="str">
        <f>IFERROR(__xludf.DUMMYFUNCTION("""COMPUTED_VALUE"""),"Approved - Construction Phase")</f>
        <v>Approved - Construction Phase</v>
      </c>
      <c r="D264" s="4">
        <f>IFERROR(__xludf.DUMMYFUNCTION("""COMPUTED_VALUE"""),912519.0)</f>
        <v>912519</v>
      </c>
      <c r="E264" s="5" t="s">
        <v>34</v>
      </c>
      <c r="J264" s="2" t="s">
        <v>36</v>
      </c>
      <c r="K264" s="2" t="s">
        <v>42</v>
      </c>
      <c r="L264" s="2" t="s">
        <v>49</v>
      </c>
      <c r="M264" s="5" t="s">
        <v>24</v>
      </c>
      <c r="N264" s="5" t="s">
        <v>48</v>
      </c>
      <c r="O264" s="5" t="s">
        <v>27</v>
      </c>
      <c r="S264" s="6"/>
      <c r="T264" s="6"/>
      <c r="U264" s="6"/>
      <c r="V264" s="6"/>
      <c r="W264" s="3">
        <v>46006.06945896991</v>
      </c>
      <c r="X264" s="6"/>
    </row>
    <row r="265">
      <c r="A265" s="1" t="str">
        <f>IFERROR(__xludf.DUMMYFUNCTION("""COMPUTED_VALUE"""),"2409-303")</f>
        <v>2409-303</v>
      </c>
      <c r="B265" s="1" t="str">
        <f>IFERROR(__xludf.DUMMYFUNCTION("""COMPUTED_VALUE"""),"Briggs-Palm-Desert-ADU-Conversion")</f>
        <v>Briggs-Palm-Desert-ADU-Conversion</v>
      </c>
      <c r="C265" s="1" t="str">
        <f>IFERROR(__xludf.DUMMYFUNCTION("""COMPUTED_VALUE"""),"Approved - Construction Phase")</f>
        <v>Approved - Construction Phase</v>
      </c>
      <c r="D265" s="4">
        <f>IFERROR(__xludf.DUMMYFUNCTION("""COMPUTED_VALUE"""),912511.0)</f>
        <v>912511</v>
      </c>
      <c r="E265" s="5" t="s">
        <v>34</v>
      </c>
      <c r="J265" s="2" t="s">
        <v>39</v>
      </c>
      <c r="K265" s="2" t="s">
        <v>35</v>
      </c>
      <c r="L265" s="2" t="s">
        <v>22</v>
      </c>
      <c r="M265" s="5" t="s">
        <v>24</v>
      </c>
      <c r="N265" s="5" t="s">
        <v>48</v>
      </c>
      <c r="O265" s="2" t="s">
        <v>24</v>
      </c>
      <c r="S265" s="6"/>
      <c r="T265" s="6"/>
      <c r="U265" s="3">
        <v>46006.38852807871</v>
      </c>
      <c r="V265" s="6"/>
      <c r="W265" s="6"/>
      <c r="X265" s="6"/>
    </row>
    <row r="266">
      <c r="A266" s="1" t="str">
        <f>IFERROR(__xludf.DUMMYFUNCTION("""COMPUTED_VALUE"""),"2409-302")</f>
        <v>2409-302</v>
      </c>
      <c r="B266" s="1" t="str">
        <f>IFERROR(__xludf.DUMMYFUNCTION("""COMPUTED_VALUE"""),"Shukla-Carlsbad-Coastal-Subdivision")</f>
        <v>Shukla-Carlsbad-Coastal-Subdivision</v>
      </c>
      <c r="C266" s="1" t="str">
        <f>IFERROR(__xludf.DUMMYFUNCTION("""COMPUTED_VALUE"""),"Abandoned,Expired")</f>
        <v>Abandoned,Expired</v>
      </c>
      <c r="D266" s="4">
        <f>IFERROR(__xludf.DUMMYFUNCTION("""COMPUTED_VALUE"""),912499.0)</f>
        <v>912499</v>
      </c>
      <c r="E266" s="5" t="s">
        <v>20</v>
      </c>
      <c r="J266" s="2" t="s">
        <v>42</v>
      </c>
      <c r="K266" s="2" t="s">
        <v>47</v>
      </c>
      <c r="L266" s="2" t="s">
        <v>51</v>
      </c>
      <c r="M266" s="5" t="s">
        <v>48</v>
      </c>
      <c r="N266" s="5" t="s">
        <v>48</v>
      </c>
      <c r="O266" s="5" t="s">
        <v>24</v>
      </c>
      <c r="S266" s="6"/>
      <c r="T266" s="6"/>
      <c r="U266" s="6"/>
      <c r="V266" s="6"/>
      <c r="W266" s="6"/>
      <c r="X266" s="6"/>
    </row>
    <row r="267">
      <c r="A267" s="1" t="str">
        <f>IFERROR(__xludf.DUMMYFUNCTION("""COMPUTED_VALUE"""),"2409-301")</f>
        <v>2409-301</v>
      </c>
      <c r="B267" s="1" t="str">
        <f>IFERROR(__xludf.DUMMYFUNCTION("""COMPUTED_VALUE"""),"Veterans-Woodland Hills-Multi-Family")</f>
        <v>Veterans-Woodland Hills-Multi-Family</v>
      </c>
      <c r="C267" s="1" t="str">
        <f>IFERROR(__xludf.DUMMYFUNCTION("""COMPUTED_VALUE"""),"Abandoned,Expired")</f>
        <v>Abandoned,Expired</v>
      </c>
      <c r="D267" s="4">
        <f>IFERROR(__xludf.DUMMYFUNCTION("""COMPUTED_VALUE"""),914515.0)</f>
        <v>914515</v>
      </c>
      <c r="E267" s="5" t="s">
        <v>20</v>
      </c>
      <c r="F267" s="2"/>
      <c r="J267" s="2" t="s">
        <v>36</v>
      </c>
      <c r="K267" s="2" t="s">
        <v>39</v>
      </c>
      <c r="L267" s="2" t="s">
        <v>47</v>
      </c>
      <c r="M267" s="5" t="s">
        <v>37</v>
      </c>
      <c r="N267" s="5" t="s">
        <v>48</v>
      </c>
      <c r="O267" s="5" t="s">
        <v>44</v>
      </c>
      <c r="P267" s="2" t="s">
        <v>57</v>
      </c>
      <c r="S267" s="3">
        <v>46006.255897256946</v>
      </c>
      <c r="T267" s="6"/>
      <c r="U267" s="6"/>
      <c r="V267" s="3">
        <v>46005.514888425925</v>
      </c>
      <c r="W267" s="3">
        <v>46005.51491409722</v>
      </c>
      <c r="X267" s="6"/>
    </row>
    <row r="268">
      <c r="A268" s="1" t="str">
        <f>IFERROR(__xludf.DUMMYFUNCTION("""COMPUTED_VALUE"""),"2409-300")</f>
        <v>2409-300</v>
      </c>
      <c r="B268" s="1" t="str">
        <f>IFERROR(__xludf.DUMMYFUNCTION("""COMPUTED_VALUE"""),"Kinsey-Rancho Bernardo-Addition")</f>
        <v>Kinsey-Rancho Bernardo-Addition</v>
      </c>
      <c r="C268" s="1" t="str">
        <f>IFERROR(__xludf.DUMMYFUNCTION("""COMPUTED_VALUE"""),"Approved - Construction Phase")</f>
        <v>Approved - Construction Phase</v>
      </c>
      <c r="D268" s="4">
        <f>IFERROR(__xludf.DUMMYFUNCTION("""COMPUTED_VALUE"""),910556.0)</f>
        <v>910556</v>
      </c>
      <c r="E268" s="5" t="s">
        <v>34</v>
      </c>
      <c r="J268" s="2" t="s">
        <v>40</v>
      </c>
      <c r="K268" s="2" t="s">
        <v>22</v>
      </c>
      <c r="L268" s="2" t="s">
        <v>25</v>
      </c>
      <c r="M268" s="5" t="s">
        <v>44</v>
      </c>
      <c r="N268" s="2" t="s">
        <v>24</v>
      </c>
      <c r="O268" s="5" t="s">
        <v>27</v>
      </c>
      <c r="S268" s="6"/>
      <c r="T268" s="3">
        <v>46007.01222979167</v>
      </c>
      <c r="U268" s="6"/>
      <c r="V268" s="6"/>
      <c r="W268" s="6"/>
      <c r="X268" s="6"/>
    </row>
    <row r="269">
      <c r="A269" s="1" t="str">
        <f>IFERROR(__xludf.DUMMYFUNCTION("""COMPUTED_VALUE"""),"2409-299")</f>
        <v>2409-299</v>
      </c>
      <c r="B269" s="1" t="str">
        <f>IFERROR(__xludf.DUMMYFUNCTION("""COMPUTED_VALUE"""),"Meza-El-Cajon-Multi-Family")</f>
        <v>Meza-El-Cajon-Multi-Family</v>
      </c>
      <c r="C269" s="1" t="str">
        <f>IFERROR(__xludf.DUMMYFUNCTION("""COMPUTED_VALUE"""),"Abandoned,Expired")</f>
        <v>Abandoned,Expired</v>
      </c>
      <c r="D269" s="4">
        <f>IFERROR(__xludf.DUMMYFUNCTION("""COMPUTED_VALUE"""),909331.0)</f>
        <v>909331</v>
      </c>
      <c r="E269" s="5" t="s">
        <v>20</v>
      </c>
      <c r="F269" s="2"/>
      <c r="J269" s="2" t="s">
        <v>47</v>
      </c>
      <c r="K269" s="2" t="s">
        <v>51</v>
      </c>
      <c r="L269" s="2" t="s">
        <v>25</v>
      </c>
      <c r="M269" s="5" t="s">
        <v>37</v>
      </c>
      <c r="N269" s="5" t="s">
        <v>37</v>
      </c>
      <c r="O269" s="5" t="s">
        <v>37</v>
      </c>
      <c r="S269" s="3">
        <v>46006.068328587964</v>
      </c>
      <c r="T269" s="6"/>
      <c r="U269" s="6"/>
      <c r="V269" s="3">
        <v>46005.51611304398</v>
      </c>
      <c r="W269" s="3">
        <v>46005.51543358796</v>
      </c>
      <c r="X269" s="6"/>
    </row>
    <row r="270">
      <c r="A270" s="1" t="str">
        <f>IFERROR(__xludf.DUMMYFUNCTION("""COMPUTED_VALUE"""),"2409-298")</f>
        <v>2409-298</v>
      </c>
      <c r="B270" s="1" t="str">
        <f>IFERROR(__xludf.DUMMYFUNCTION("""COMPUTED_VALUE"""),"Kardon-Morongo-Cabin Conversion")</f>
        <v>Kardon-Morongo-Cabin Conversion</v>
      </c>
      <c r="C270" s="1" t="str">
        <f>IFERROR(__xludf.DUMMYFUNCTION("""COMPUTED_VALUE"""),"A008.2 Architectural Comment Responses")</f>
        <v>A008.2 Architectural Comment Responses</v>
      </c>
      <c r="D270" s="4">
        <f>IFERROR(__xludf.DUMMYFUNCTION("""COMPUTED_VALUE"""),908227.0)</f>
        <v>908227</v>
      </c>
      <c r="E270" s="5" t="s">
        <v>34</v>
      </c>
      <c r="J270" s="2" t="s">
        <v>51</v>
      </c>
      <c r="K270" s="2" t="s">
        <v>51</v>
      </c>
      <c r="L270" s="2" t="s">
        <v>39</v>
      </c>
      <c r="M270" s="5" t="s">
        <v>37</v>
      </c>
      <c r="N270" s="5" t="s">
        <v>37</v>
      </c>
      <c r="O270" s="5" t="s">
        <v>48</v>
      </c>
      <c r="S270" s="6"/>
      <c r="T270" s="6"/>
      <c r="U270" s="6"/>
      <c r="V270" s="6"/>
      <c r="W270" s="6"/>
      <c r="X270" s="6"/>
    </row>
    <row r="271">
      <c r="A271" s="1" t="str">
        <f>IFERROR(__xludf.DUMMYFUNCTION("""COMPUTED_VALUE"""),"2409-297")</f>
        <v>2409-297</v>
      </c>
      <c r="B271" s="1" t="str">
        <f>IFERROR(__xludf.DUMMYFUNCTION("""COMPUTED_VALUE"""),"Robinson-Solvang-Remodel-Addition")</f>
        <v>Robinson-Solvang-Remodel-Addition</v>
      </c>
      <c r="C271" s="1" t="str">
        <f>IFERROR(__xludf.DUMMYFUNCTION("""COMPUTED_VALUE"""),"Abandoned,Expired")</f>
        <v>Abandoned,Expired</v>
      </c>
      <c r="D271" s="4">
        <f>IFERROR(__xludf.DUMMYFUNCTION("""COMPUTED_VALUE"""),906795.0)</f>
        <v>906795</v>
      </c>
      <c r="E271" s="5" t="s">
        <v>34</v>
      </c>
      <c r="J271" s="2" t="s">
        <v>50</v>
      </c>
      <c r="K271" s="2" t="s">
        <v>35</v>
      </c>
      <c r="L271" s="2" t="s">
        <v>39</v>
      </c>
      <c r="M271" s="5" t="s">
        <v>37</v>
      </c>
      <c r="N271" s="5" t="s">
        <v>37</v>
      </c>
      <c r="O271" s="5" t="s">
        <v>37</v>
      </c>
      <c r="S271" s="6"/>
      <c r="T271" s="6"/>
      <c r="U271" s="6"/>
      <c r="V271" s="6"/>
      <c r="W271" s="6"/>
      <c r="X271" s="6"/>
    </row>
    <row r="272">
      <c r="A272" s="1" t="str">
        <f>IFERROR(__xludf.DUMMYFUNCTION("""COMPUTED_VALUE"""),"2409-296")</f>
        <v>2409-296</v>
      </c>
      <c r="B272" s="1" t="str">
        <f>IFERROR(__xludf.DUMMYFUNCTION("""COMPUTED_VALUE"""),"Watson-LA-Remodel-Addition")</f>
        <v>Watson-LA-Remodel-Addition</v>
      </c>
      <c r="C272" s="1" t="str">
        <f>IFERROR(__xludf.DUMMYFUNCTION("""COMPUTED_VALUE"""),"Abandoned,Expired")</f>
        <v>Abandoned,Expired</v>
      </c>
      <c r="D272" s="4">
        <f>IFERROR(__xludf.DUMMYFUNCTION("""COMPUTED_VALUE"""),906743.0)</f>
        <v>906743</v>
      </c>
      <c r="E272" s="5" t="s">
        <v>20</v>
      </c>
      <c r="J272" s="2" t="s">
        <v>40</v>
      </c>
      <c r="K272" s="2" t="s">
        <v>40</v>
      </c>
      <c r="L272" s="2" t="s">
        <v>51</v>
      </c>
      <c r="M272" s="5" t="s">
        <v>48</v>
      </c>
      <c r="N272" s="5" t="s">
        <v>24</v>
      </c>
      <c r="O272" s="5" t="s">
        <v>48</v>
      </c>
      <c r="S272" s="6"/>
      <c r="T272" s="6"/>
      <c r="U272" s="6"/>
      <c r="V272" s="6"/>
      <c r="W272" s="6"/>
      <c r="X272" s="6"/>
    </row>
    <row r="273">
      <c r="A273" s="1" t="str">
        <f>IFERROR(__xludf.DUMMYFUNCTION("""COMPUTED_VALUE"""),"2409-295")</f>
        <v>2409-295</v>
      </c>
      <c r="B273" s="1" t="str">
        <f>IFERROR(__xludf.DUMMYFUNCTION("""COMPUTED_VALUE"""),"Joseph-Arrowhead-Remodel")</f>
        <v>Joseph-Arrowhead-Remodel</v>
      </c>
      <c r="C273" s="1" t="str">
        <f>IFERROR(__xludf.DUMMYFUNCTION("""COMPUTED_VALUE"""),"A008 Submitted - Waiting on Others")</f>
        <v>A008 Submitted - Waiting on Others</v>
      </c>
      <c r="D273" s="4">
        <f>IFERROR(__xludf.DUMMYFUNCTION("""COMPUTED_VALUE"""),906742.0)</f>
        <v>906742</v>
      </c>
      <c r="E273" s="5" t="s">
        <v>20</v>
      </c>
      <c r="F273" s="2"/>
      <c r="J273" s="2" t="s">
        <v>47</v>
      </c>
      <c r="K273" s="2" t="s">
        <v>43</v>
      </c>
      <c r="L273" s="2" t="s">
        <v>25</v>
      </c>
      <c r="M273" s="5" t="s">
        <v>24</v>
      </c>
      <c r="N273" s="5" t="s">
        <v>48</v>
      </c>
      <c r="O273" s="5" t="s">
        <v>48</v>
      </c>
      <c r="S273" s="6"/>
      <c r="T273" s="6"/>
      <c r="U273" s="6"/>
      <c r="V273" s="3">
        <v>46005.48223940972</v>
      </c>
      <c r="W273" s="3">
        <v>46005.48223288194</v>
      </c>
      <c r="X273" s="6"/>
    </row>
    <row r="274">
      <c r="A274" s="1" t="str">
        <f>IFERROR(__xludf.DUMMYFUNCTION("""COMPUTED_VALUE"""),"2409-294")</f>
        <v>2409-294</v>
      </c>
      <c r="B274" s="1" t="str">
        <f>IFERROR(__xludf.DUMMYFUNCTION("""COMPUTED_VALUE"""),"Shaw-Flintridge-2nd Floor Addition")</f>
        <v>Shaw-Flintridge-2nd Floor Addition</v>
      </c>
      <c r="C274" s="1" t="str">
        <f>IFERROR(__xludf.DUMMYFUNCTION("""COMPUTED_VALUE"""),"Paused - Stalled by 3rd Party")</f>
        <v>Paused - Stalled by 3rd Party</v>
      </c>
      <c r="D274" s="4">
        <f>IFERROR(__xludf.DUMMYFUNCTION("""COMPUTED_VALUE"""),906741.0)</f>
        <v>906741</v>
      </c>
      <c r="E274" s="5" t="s">
        <v>20</v>
      </c>
      <c r="J274" s="2" t="s">
        <v>26</v>
      </c>
      <c r="K274" s="2" t="s">
        <v>51</v>
      </c>
      <c r="L274" s="2" t="s">
        <v>36</v>
      </c>
      <c r="M274" s="5" t="s">
        <v>44</v>
      </c>
      <c r="N274" s="5" t="s">
        <v>27</v>
      </c>
      <c r="O274" s="5" t="s">
        <v>24</v>
      </c>
      <c r="S274" s="6"/>
      <c r="T274" s="6"/>
      <c r="U274" s="6"/>
      <c r="V274" s="6"/>
      <c r="W274" s="6"/>
      <c r="X274" s="6"/>
    </row>
    <row r="275">
      <c r="A275" s="1" t="str">
        <f>IFERROR(__xludf.DUMMYFUNCTION("""COMPUTED_VALUE"""),"2409-293")</f>
        <v>2409-293</v>
      </c>
      <c r="B275" s="1" t="str">
        <f>IFERROR(__xludf.DUMMYFUNCTION("""COMPUTED_VALUE"""),"UFO-Southgate Floor Plans and Structural Evaluation")</f>
        <v>UFO-Southgate Floor Plans and Structural Evaluation</v>
      </c>
      <c r="C275" s="1" t="str">
        <f>IFERROR(__xludf.DUMMYFUNCTION("""COMPUTED_VALUE"""),"Completed - Sent to Client")</f>
        <v>Completed - Sent to Client</v>
      </c>
      <c r="D275" s="4">
        <f>IFERROR(__xludf.DUMMYFUNCTION("""COMPUTED_VALUE"""),906734.0)</f>
        <v>906734</v>
      </c>
      <c r="E275" s="5" t="s">
        <v>20</v>
      </c>
      <c r="J275" s="2" t="s">
        <v>43</v>
      </c>
      <c r="K275" s="2" t="s">
        <v>33</v>
      </c>
      <c r="L275" s="2" t="s">
        <v>25</v>
      </c>
      <c r="M275" s="5" t="s">
        <v>27</v>
      </c>
      <c r="N275" s="5" t="s">
        <v>27</v>
      </c>
      <c r="O275" s="5" t="s">
        <v>37</v>
      </c>
      <c r="S275" s="6"/>
      <c r="T275" s="6"/>
      <c r="U275" s="6"/>
      <c r="V275" s="6"/>
      <c r="W275" s="3">
        <v>46006.037732627316</v>
      </c>
      <c r="X275" s="6"/>
    </row>
    <row r="276">
      <c r="A276" s="1" t="str">
        <f>IFERROR(__xludf.DUMMYFUNCTION("""COMPUTED_VALUE"""),"2409-292")</f>
        <v>2409-292</v>
      </c>
      <c r="B276" s="1" t="str">
        <f>IFERROR(__xludf.DUMMYFUNCTION("""COMPUTED_VALUE"""),"FFC-LA-Softstory-Retrofit Wyandotte")</f>
        <v>FFC-LA-Softstory-Retrofit Wyandotte</v>
      </c>
      <c r="C276" s="1" t="str">
        <f>IFERROR(__xludf.DUMMYFUNCTION("""COMPUTED_VALUE"""),"Completed - Sent to Client")</f>
        <v>Completed - Sent to Client</v>
      </c>
      <c r="D276" s="4">
        <f>IFERROR(__xludf.DUMMYFUNCTION("""COMPUTED_VALUE"""),906724.0)</f>
        <v>906724</v>
      </c>
      <c r="E276" s="5" t="s">
        <v>20</v>
      </c>
      <c r="F276" s="2"/>
      <c r="J276" s="2" t="s">
        <v>51</v>
      </c>
      <c r="K276" s="2" t="s">
        <v>43</v>
      </c>
      <c r="L276" s="2" t="s">
        <v>35</v>
      </c>
      <c r="M276" s="5" t="s">
        <v>48</v>
      </c>
      <c r="N276" s="5" t="s">
        <v>24</v>
      </c>
      <c r="O276" s="5" t="s">
        <v>24</v>
      </c>
      <c r="S276" s="3">
        <v>46005.5283304051</v>
      </c>
      <c r="T276" s="6"/>
      <c r="U276" s="6"/>
      <c r="V276" s="3">
        <v>46005.48228986112</v>
      </c>
      <c r="W276" s="3">
        <v>46005.55084730324</v>
      </c>
      <c r="X276" s="6"/>
    </row>
    <row r="277">
      <c r="A277" s="1" t="str">
        <f>IFERROR(__xludf.DUMMYFUNCTION("""COMPUTED_VALUE"""),"2409-291")</f>
        <v>2409-291</v>
      </c>
      <c r="B277" s="1" t="str">
        <f>IFERROR(__xludf.DUMMYFUNCTION("""COMPUTED_VALUE"""),"Carver-Arizona-Storage Units")</f>
        <v>Carver-Arizona-Storage Units</v>
      </c>
      <c r="C277" s="1" t="str">
        <f>IFERROR(__xludf.DUMMYFUNCTION("""COMPUTED_VALUE"""),"Approved - Construction Phase")</f>
        <v>Approved - Construction Phase</v>
      </c>
      <c r="D277" s="4">
        <f>IFERROR(__xludf.DUMMYFUNCTION("""COMPUTED_VALUE"""),906720.0)</f>
        <v>906720</v>
      </c>
      <c r="E277" s="5" t="s">
        <v>20</v>
      </c>
      <c r="F277" s="2"/>
      <c r="J277" s="2" t="s">
        <v>50</v>
      </c>
      <c r="K277" s="2" t="s">
        <v>35</v>
      </c>
      <c r="L277" s="2" t="s">
        <v>33</v>
      </c>
      <c r="M277" s="5" t="s">
        <v>24</v>
      </c>
      <c r="N277" s="5" t="s">
        <v>27</v>
      </c>
      <c r="O277" s="5" t="s">
        <v>24</v>
      </c>
      <c r="S277" s="6"/>
      <c r="T277" s="6"/>
      <c r="U277" s="6"/>
      <c r="V277" s="3">
        <v>46006.03404233797</v>
      </c>
      <c r="W277" s="3">
        <v>46005.517582037035</v>
      </c>
      <c r="X277" s="6"/>
    </row>
    <row r="278">
      <c r="A278" s="1" t="str">
        <f>IFERROR(__xludf.DUMMYFUNCTION("""COMPUTED_VALUE"""),"2409-290")</f>
        <v>2409-290</v>
      </c>
      <c r="B278" s="1" t="str">
        <f>IFERROR(__xludf.DUMMYFUNCTION("""COMPUTED_VALUE"""),"Van Wey-San Diego-Garage ADU")</f>
        <v>Van Wey-San Diego-Garage ADU</v>
      </c>
      <c r="C278" s="1" t="str">
        <f>IFERROR(__xludf.DUMMYFUNCTION("""COMPUTED_VALUE"""),"Approved - Construction Phase")</f>
        <v>Approved - Construction Phase</v>
      </c>
      <c r="D278" s="4">
        <f>IFERROR(__xludf.DUMMYFUNCTION("""COMPUTED_VALUE"""),902796.0)</f>
        <v>902796</v>
      </c>
      <c r="E278" s="5" t="s">
        <v>34</v>
      </c>
      <c r="J278" s="2" t="s">
        <v>39</v>
      </c>
      <c r="K278" s="2" t="s">
        <v>36</v>
      </c>
      <c r="L278" s="2" t="s">
        <v>35</v>
      </c>
      <c r="M278" s="5" t="s">
        <v>44</v>
      </c>
      <c r="N278" s="5" t="s">
        <v>27</v>
      </c>
      <c r="O278" s="5" t="s">
        <v>27</v>
      </c>
      <c r="S278" s="6"/>
      <c r="T278" s="6"/>
      <c r="U278" s="6"/>
      <c r="V278" s="6"/>
      <c r="W278" s="6"/>
      <c r="X278" s="6"/>
    </row>
    <row r="279">
      <c r="A279" s="1" t="str">
        <f>IFERROR(__xludf.DUMMYFUNCTION("""COMPUTED_VALUE"""),"2409-289")</f>
        <v>2409-289</v>
      </c>
      <c r="B279" s="1" t="str">
        <f>IFERROR(__xludf.DUMMYFUNCTION("""COMPUTED_VALUE"""),"Nghiem-Monterey Park-Garage ADU")</f>
        <v>Nghiem-Monterey Park-Garage ADU</v>
      </c>
      <c r="C279" s="1" t="str">
        <f>IFERROR(__xludf.DUMMYFUNCTION("""COMPUTED_VALUE"""),"Approved - Construction Phase")</f>
        <v>Approved - Construction Phase</v>
      </c>
      <c r="D279" s="4">
        <f>IFERROR(__xludf.DUMMYFUNCTION("""COMPUTED_VALUE"""),902781.0)</f>
        <v>902781</v>
      </c>
      <c r="E279" s="5" t="s">
        <v>20</v>
      </c>
      <c r="J279" s="2" t="s">
        <v>40</v>
      </c>
      <c r="K279" s="2" t="s">
        <v>47</v>
      </c>
      <c r="L279" s="2" t="s">
        <v>42</v>
      </c>
      <c r="M279" s="5" t="s">
        <v>48</v>
      </c>
      <c r="N279" s="5" t="s">
        <v>24</v>
      </c>
      <c r="O279" s="5" t="s">
        <v>27</v>
      </c>
      <c r="S279" s="6"/>
      <c r="T279" s="6"/>
      <c r="U279" s="6"/>
      <c r="V279" s="6"/>
      <c r="W279" s="3">
        <v>46006.06950442129</v>
      </c>
      <c r="X279" s="6"/>
    </row>
    <row r="280">
      <c r="A280" s="1" t="str">
        <f>IFERROR(__xludf.DUMMYFUNCTION("""COMPUTED_VALUE"""),"2409-288")</f>
        <v>2409-288</v>
      </c>
      <c r="B280" s="1" t="str">
        <f>IFERROR(__xludf.DUMMYFUNCTION("""COMPUTED_VALUE"""),"Reppucci-Wyoming-Home-Plans")</f>
        <v>Reppucci-Wyoming-Home-Plans</v>
      </c>
      <c r="C280" s="1" t="str">
        <f>IFERROR(__xludf.DUMMYFUNCTION("""COMPUTED_VALUE"""),"Completed - Sent to Client")</f>
        <v>Completed - Sent to Client</v>
      </c>
      <c r="D280" s="4">
        <f>IFERROR(__xludf.DUMMYFUNCTION("""COMPUTED_VALUE"""),897587.0)</f>
        <v>897587</v>
      </c>
      <c r="E280" s="5" t="s">
        <v>34</v>
      </c>
      <c r="J280" s="2" t="s">
        <v>23</v>
      </c>
      <c r="K280" s="2" t="s">
        <v>40</v>
      </c>
      <c r="L280" s="2" t="s">
        <v>50</v>
      </c>
      <c r="M280" s="5" t="s">
        <v>48</v>
      </c>
      <c r="N280" s="5" t="s">
        <v>27</v>
      </c>
      <c r="O280" s="5" t="s">
        <v>37</v>
      </c>
      <c r="S280" s="6"/>
      <c r="T280" s="6"/>
      <c r="U280" s="6"/>
      <c r="V280" s="6"/>
      <c r="W280" s="6"/>
      <c r="X280" s="6"/>
    </row>
    <row r="281">
      <c r="A281" s="1" t="str">
        <f>IFERROR(__xludf.DUMMYFUNCTION("""COMPUTED_VALUE"""),"2409-287")</f>
        <v>2409-287</v>
      </c>
      <c r="B281" s="1" t="str">
        <f>IFERROR(__xludf.DUMMYFUNCTION("""COMPUTED_VALUE"""),"Pimentel-El Cajon-Garage-ADU")</f>
        <v>Pimentel-El Cajon-Garage-ADU</v>
      </c>
      <c r="C281" s="1" t="str">
        <f>IFERROR(__xludf.DUMMYFUNCTION("""COMPUTED_VALUE"""),"Approved - Construction Phase")</f>
        <v>Approved - Construction Phase</v>
      </c>
      <c r="D281" s="4">
        <f>IFERROR(__xludf.DUMMYFUNCTION("""COMPUTED_VALUE"""),896693.0)</f>
        <v>896693</v>
      </c>
      <c r="E281" s="5" t="s">
        <v>34</v>
      </c>
      <c r="F281" s="2"/>
      <c r="J281" s="2" t="s">
        <v>23</v>
      </c>
      <c r="K281" s="2" t="s">
        <v>50</v>
      </c>
      <c r="L281" s="2" t="s">
        <v>22</v>
      </c>
      <c r="M281" s="5" t="s">
        <v>37</v>
      </c>
      <c r="N281" s="5" t="s">
        <v>44</v>
      </c>
      <c r="O281" s="2" t="s">
        <v>24</v>
      </c>
      <c r="S281" s="3">
        <v>46005.500371898146</v>
      </c>
      <c r="T281" s="6"/>
      <c r="U281" s="3">
        <v>46006.38024106481</v>
      </c>
      <c r="V281" s="3">
        <v>46005.4825810301</v>
      </c>
      <c r="W281" s="3">
        <v>46005.48256837963</v>
      </c>
      <c r="X281" s="6"/>
    </row>
    <row r="282">
      <c r="A282" s="1" t="str">
        <f>IFERROR(__xludf.DUMMYFUNCTION("""COMPUTED_VALUE"""),"2409-286")</f>
        <v>2409-286</v>
      </c>
      <c r="B282" s="1" t="str">
        <f>IFERROR(__xludf.DUMMYFUNCTION("""COMPUTED_VALUE"""),"Lage-Canyon Lake-New Residence")</f>
        <v>Lage-Canyon Lake-New Residence</v>
      </c>
      <c r="C282" s="1" t="str">
        <f>IFERROR(__xludf.DUMMYFUNCTION("""COMPUTED_VALUE"""),"Paused - Stalled by 3rd Party")</f>
        <v>Paused - Stalled by 3rd Party</v>
      </c>
      <c r="D282" s="4">
        <f>IFERROR(__xludf.DUMMYFUNCTION("""COMPUTED_VALUE"""),895221.0)</f>
        <v>895221</v>
      </c>
      <c r="E282" s="5" t="s">
        <v>34</v>
      </c>
      <c r="J282" s="2" t="s">
        <v>23</v>
      </c>
      <c r="K282" s="2" t="s">
        <v>42</v>
      </c>
      <c r="L282" s="2" t="s">
        <v>42</v>
      </c>
      <c r="M282" s="5" t="s">
        <v>37</v>
      </c>
      <c r="N282" s="5" t="s">
        <v>37</v>
      </c>
      <c r="O282" s="5" t="s">
        <v>24</v>
      </c>
      <c r="S282" s="6"/>
      <c r="T282" s="6"/>
      <c r="U282" s="6"/>
      <c r="V282" s="6"/>
      <c r="W282" s="6"/>
      <c r="X282" s="6"/>
    </row>
    <row r="283">
      <c r="A283" s="1" t="str">
        <f>IFERROR(__xludf.DUMMYFUNCTION("""COMPUTED_VALUE"""),"2409-285")</f>
        <v>2409-285</v>
      </c>
      <c r="B283" s="1" t="str">
        <f>IFERROR(__xludf.DUMMYFUNCTION("""COMPUTED_VALUE"""),"Winchester-SD-Addition")</f>
        <v>Winchester-SD-Addition</v>
      </c>
      <c r="C283" s="1" t="str">
        <f>IFERROR(__xludf.DUMMYFUNCTION("""COMPUTED_VALUE"""),"A009 Resubmitted")</f>
        <v>A009 Resubmitted</v>
      </c>
      <c r="D283" s="4">
        <f>IFERROR(__xludf.DUMMYFUNCTION("""COMPUTED_VALUE"""),895164.0)</f>
        <v>895164</v>
      </c>
      <c r="E283" s="5" t="s">
        <v>20</v>
      </c>
      <c r="J283" s="2" t="s">
        <v>51</v>
      </c>
      <c r="K283" s="2" t="s">
        <v>43</v>
      </c>
      <c r="L283" s="2" t="s">
        <v>25</v>
      </c>
      <c r="M283" s="5" t="s">
        <v>37</v>
      </c>
      <c r="N283" s="5" t="s">
        <v>48</v>
      </c>
      <c r="O283" s="5" t="s">
        <v>48</v>
      </c>
      <c r="S283" s="6"/>
      <c r="T283" s="6"/>
      <c r="U283" s="6"/>
      <c r="V283" s="6"/>
      <c r="W283" s="6"/>
      <c r="X283" s="6"/>
    </row>
    <row r="284">
      <c r="A284" s="1" t="str">
        <f>IFERROR(__xludf.DUMMYFUNCTION("""COMPUTED_VALUE"""),"2409-284")</f>
        <v>2409-284</v>
      </c>
      <c r="B284" s="1" t="str">
        <f>IFERROR(__xludf.DUMMYFUNCTION("""COMPUTED_VALUE"""),"First-Presbyterian-El-Cajon-Conversion")</f>
        <v>First-Presbyterian-El-Cajon-Conversion</v>
      </c>
      <c r="C284" s="1" t="str">
        <f>IFERROR(__xludf.DUMMYFUNCTION("""COMPUTED_VALUE"""),"Approved - Construction Phase")</f>
        <v>Approved - Construction Phase</v>
      </c>
      <c r="D284" s="4">
        <f>IFERROR(__xludf.DUMMYFUNCTION("""COMPUTED_VALUE"""),895160.0)</f>
        <v>895160</v>
      </c>
      <c r="E284" s="5" t="s">
        <v>34</v>
      </c>
      <c r="J284" s="2" t="s">
        <v>43</v>
      </c>
      <c r="K284" s="2" t="s">
        <v>23</v>
      </c>
      <c r="L284" s="2" t="s">
        <v>25</v>
      </c>
      <c r="M284" s="5" t="s">
        <v>37</v>
      </c>
      <c r="N284" s="5" t="s">
        <v>48</v>
      </c>
      <c r="O284" s="5" t="s">
        <v>37</v>
      </c>
      <c r="S284" s="6"/>
      <c r="T284" s="6"/>
      <c r="U284" s="6"/>
      <c r="V284" s="6"/>
      <c r="W284" s="6"/>
      <c r="X284" s="6"/>
    </row>
    <row r="285">
      <c r="A285" s="1" t="str">
        <f>IFERROR(__xludf.DUMMYFUNCTION("""COMPUTED_VALUE"""),"2409-283")</f>
        <v>2409-283</v>
      </c>
      <c r="B285" s="1" t="str">
        <f>IFERROR(__xludf.DUMMYFUNCTION("""COMPUTED_VALUE"""),"Denisiu-Westchester-Remodel")</f>
        <v>Denisiu-Westchester-Remodel</v>
      </c>
      <c r="C285" s="1" t="str">
        <f>IFERROR(__xludf.DUMMYFUNCTION("""COMPUTED_VALUE"""),"Abandoned,Expired")</f>
        <v>Abandoned,Expired</v>
      </c>
      <c r="D285" s="4">
        <f>IFERROR(__xludf.DUMMYFUNCTION("""COMPUTED_VALUE"""),895122.0)</f>
        <v>895122</v>
      </c>
      <c r="E285" s="5" t="s">
        <v>20</v>
      </c>
      <c r="F285" s="2"/>
      <c r="J285" s="2" t="s">
        <v>51</v>
      </c>
      <c r="K285" s="2" t="s">
        <v>39</v>
      </c>
      <c r="L285" s="2" t="s">
        <v>32</v>
      </c>
      <c r="M285" s="5" t="s">
        <v>24</v>
      </c>
      <c r="N285" s="5" t="s">
        <v>24</v>
      </c>
      <c r="O285" s="5" t="s">
        <v>24</v>
      </c>
      <c r="S285" s="6"/>
      <c r="T285" s="6"/>
      <c r="U285" s="6"/>
      <c r="V285" s="3">
        <v>46006.06955881944</v>
      </c>
      <c r="W285" s="3">
        <v>46006.06955204861</v>
      </c>
      <c r="X285" s="6"/>
    </row>
    <row r="286">
      <c r="A286" s="1" t="str">
        <f>IFERROR(__xludf.DUMMYFUNCTION("""COMPUTED_VALUE"""),"2409-101")</f>
        <v>2409-101</v>
      </c>
      <c r="B286" s="1" t="str">
        <f>IFERROR(__xludf.DUMMYFUNCTION("""COMPUTED_VALUE"""),"Iny-Brentwood-Landscape Plans")</f>
        <v>Iny-Brentwood-Landscape Plans</v>
      </c>
      <c r="C286" s="1" t="str">
        <f>IFERROR(__xludf.DUMMYFUNCTION("""COMPUTED_VALUE"""),"Approved - Construction Phase")</f>
        <v>Approved - Construction Phase</v>
      </c>
      <c r="D286" s="4">
        <f>IFERROR(__xludf.DUMMYFUNCTION("""COMPUTED_VALUE"""),902770.0)</f>
        <v>902770</v>
      </c>
      <c r="E286" s="5" t="s">
        <v>34</v>
      </c>
      <c r="J286" s="2" t="s">
        <v>50</v>
      </c>
      <c r="K286" s="2" t="s">
        <v>26</v>
      </c>
      <c r="L286" s="2" t="s">
        <v>40</v>
      </c>
      <c r="M286" s="5" t="s">
        <v>27</v>
      </c>
      <c r="N286" s="5" t="s">
        <v>24</v>
      </c>
      <c r="O286" s="5" t="s">
        <v>24</v>
      </c>
      <c r="S286" s="6"/>
      <c r="T286" s="6"/>
      <c r="U286" s="6"/>
      <c r="V286" s="6"/>
      <c r="W286" s="6"/>
      <c r="X286" s="6"/>
    </row>
    <row r="287">
      <c r="A287" s="1" t="str">
        <f>IFERROR(__xludf.DUMMYFUNCTION("""COMPUTED_VALUE"""),"2408-282")</f>
        <v>2408-282</v>
      </c>
      <c r="B287" s="1" t="str">
        <f>IFERROR(__xludf.DUMMYFUNCTION("""COMPUTED_VALUE"""),"Garman-Victorville-Patio-Permit")</f>
        <v>Garman-Victorville-Patio-Permit</v>
      </c>
      <c r="C287" s="1" t="str">
        <f>IFERROR(__xludf.DUMMYFUNCTION("""COMPUTED_VALUE"""),"Approved - Construction Phase")</f>
        <v>Approved - Construction Phase</v>
      </c>
      <c r="D287" s="4">
        <f>IFERROR(__xludf.DUMMYFUNCTION("""COMPUTED_VALUE"""),885682.0)</f>
        <v>885682</v>
      </c>
      <c r="E287" s="5" t="s">
        <v>20</v>
      </c>
      <c r="F287" s="2"/>
      <c r="J287" s="2" t="s">
        <v>32</v>
      </c>
      <c r="K287" s="2" t="s">
        <v>47</v>
      </c>
      <c r="L287" s="2" t="s">
        <v>36</v>
      </c>
      <c r="M287" s="5" t="s">
        <v>48</v>
      </c>
      <c r="N287" s="5" t="s">
        <v>37</v>
      </c>
      <c r="O287" s="5" t="s">
        <v>48</v>
      </c>
      <c r="S287" s="6"/>
      <c r="T287" s="6"/>
      <c r="U287" s="6"/>
      <c r="V287" s="3">
        <v>46005.45212996528</v>
      </c>
      <c r="W287" s="3">
        <v>46005.452176666666</v>
      </c>
      <c r="X287" s="6"/>
    </row>
    <row r="288">
      <c r="A288" s="1" t="str">
        <f>IFERROR(__xludf.DUMMYFUNCTION("""COMPUTED_VALUE"""),"2408-281")</f>
        <v>2408-281</v>
      </c>
      <c r="B288" s="1" t="str">
        <f>IFERROR(__xludf.DUMMYFUNCTION("""COMPUTED_VALUE"""),"Reinke-SD-Front-Room-Addition")</f>
        <v>Reinke-SD-Front-Room-Addition</v>
      </c>
      <c r="C288" s="1" t="str">
        <f>IFERROR(__xludf.DUMMYFUNCTION("""COMPUTED_VALUE"""),"Approved - Construction Phase")</f>
        <v>Approved - Construction Phase</v>
      </c>
      <c r="D288" s="4">
        <f>IFERROR(__xludf.DUMMYFUNCTION("""COMPUTED_VALUE"""),885674.0)</f>
        <v>885674</v>
      </c>
      <c r="E288" s="5" t="s">
        <v>20</v>
      </c>
      <c r="J288" s="2" t="s">
        <v>32</v>
      </c>
      <c r="K288" s="2" t="s">
        <v>36</v>
      </c>
      <c r="L288" s="2" t="s">
        <v>33</v>
      </c>
      <c r="M288" s="5" t="s">
        <v>27</v>
      </c>
      <c r="N288" s="5" t="s">
        <v>24</v>
      </c>
      <c r="O288" s="5" t="s">
        <v>37</v>
      </c>
      <c r="S288" s="6"/>
      <c r="T288" s="6"/>
      <c r="U288" s="6"/>
      <c r="V288" s="6"/>
      <c r="W288" s="6"/>
      <c r="X288" s="6"/>
    </row>
    <row r="289">
      <c r="A289" s="1" t="str">
        <f>IFERROR(__xludf.DUMMYFUNCTION("""COMPUTED_VALUE"""),"2408-280")</f>
        <v>2408-280</v>
      </c>
      <c r="B289" s="1" t="str">
        <f>IFERROR(__xludf.DUMMYFUNCTION("""COMPUTED_VALUE"""),"Grada-SD-garage-ADU-Plans")</f>
        <v>Grada-SD-garage-ADU-Plans</v>
      </c>
      <c r="C289" s="1" t="str">
        <f>IFERROR(__xludf.DUMMYFUNCTION("""COMPUTED_VALUE"""),"Approved - Construction Phase")</f>
        <v>Approved - Construction Phase</v>
      </c>
      <c r="D289" s="4">
        <f>IFERROR(__xludf.DUMMYFUNCTION("""COMPUTED_VALUE"""),885671.0)</f>
        <v>885671</v>
      </c>
      <c r="E289" s="5" t="s">
        <v>20</v>
      </c>
      <c r="J289" s="2" t="s">
        <v>49</v>
      </c>
      <c r="K289" s="2" t="s">
        <v>40</v>
      </c>
      <c r="L289" s="2" t="s">
        <v>43</v>
      </c>
      <c r="M289" s="5" t="s">
        <v>44</v>
      </c>
      <c r="N289" s="5" t="s">
        <v>24</v>
      </c>
      <c r="O289" s="5" t="s">
        <v>24</v>
      </c>
      <c r="S289" s="6"/>
      <c r="T289" s="6"/>
      <c r="U289" s="6"/>
      <c r="V289" s="6"/>
      <c r="W289" s="6"/>
      <c r="X289" s="6"/>
    </row>
    <row r="290">
      <c r="A290" s="1" t="str">
        <f>IFERROR(__xludf.DUMMYFUNCTION("""COMPUTED_VALUE"""),"2408-279")</f>
        <v>2408-279</v>
      </c>
      <c r="B290" s="1" t="str">
        <f>IFERROR(__xludf.DUMMYFUNCTION("""COMPUTED_VALUE"""),"Long-Barstow-ADU-Permitting")</f>
        <v>Long-Barstow-ADU-Permitting</v>
      </c>
      <c r="C290" s="1" t="str">
        <f>IFERROR(__xludf.DUMMYFUNCTION("""COMPUTED_VALUE"""),"A008.2 Architectural Comment Responses")</f>
        <v>A008.2 Architectural Comment Responses</v>
      </c>
      <c r="D290" s="4">
        <f>IFERROR(__xludf.DUMMYFUNCTION("""COMPUTED_VALUE"""),885661.0)</f>
        <v>885661</v>
      </c>
      <c r="E290" s="5" t="s">
        <v>34</v>
      </c>
      <c r="J290" s="2" t="s">
        <v>35</v>
      </c>
      <c r="K290" s="2" t="s">
        <v>43</v>
      </c>
      <c r="L290" s="2" t="s">
        <v>51</v>
      </c>
      <c r="M290" s="5" t="s">
        <v>44</v>
      </c>
      <c r="N290" s="5" t="s">
        <v>24</v>
      </c>
      <c r="O290" s="5" t="s">
        <v>37</v>
      </c>
      <c r="S290" s="6"/>
      <c r="T290" s="6"/>
      <c r="U290" s="6"/>
      <c r="V290" s="6"/>
      <c r="W290" s="6"/>
      <c r="X290" s="6"/>
    </row>
    <row r="291">
      <c r="A291" s="1" t="str">
        <f>IFERROR(__xludf.DUMMYFUNCTION("""COMPUTED_VALUE"""),"2408-278")</f>
        <v>2408-278</v>
      </c>
      <c r="B291" s="1" t="str">
        <f>IFERROR(__xludf.DUMMYFUNCTION("""COMPUTED_VALUE"""),"Patil-RSM-Garage-Bed-And-Bath")</f>
        <v>Patil-RSM-Garage-Bed-And-Bath</v>
      </c>
      <c r="C291" s="1" t="str">
        <f>IFERROR(__xludf.DUMMYFUNCTION("""COMPUTED_VALUE"""),"Approved - Construction Phase")</f>
        <v>Approved - Construction Phase</v>
      </c>
      <c r="D291" s="4">
        <f>IFERROR(__xludf.DUMMYFUNCTION("""COMPUTED_VALUE"""),880965.0)</f>
        <v>880965</v>
      </c>
      <c r="E291" s="5" t="s">
        <v>34</v>
      </c>
      <c r="J291" s="2" t="s">
        <v>33</v>
      </c>
      <c r="K291" s="2" t="s">
        <v>26</v>
      </c>
      <c r="L291" s="2" t="s">
        <v>39</v>
      </c>
      <c r="M291" s="5" t="s">
        <v>24</v>
      </c>
      <c r="N291" s="5" t="s">
        <v>37</v>
      </c>
      <c r="O291" s="5" t="s">
        <v>48</v>
      </c>
      <c r="S291" s="6"/>
      <c r="T291" s="6"/>
      <c r="U291" s="6"/>
      <c r="V291" s="6"/>
      <c r="W291" s="3">
        <v>46006.033986435184</v>
      </c>
      <c r="X291" s="6"/>
    </row>
    <row r="292">
      <c r="A292" s="1" t="str">
        <f>IFERROR(__xludf.DUMMYFUNCTION("""COMPUTED_VALUE"""),"2408-277")</f>
        <v>2408-277</v>
      </c>
      <c r="B292" s="1" t="str">
        <f>IFERROR(__xludf.DUMMYFUNCTION("""COMPUTED_VALUE"""),"Pericleous-Landers-Garage-ADU")</f>
        <v>Pericleous-Landers-Garage-ADU</v>
      </c>
      <c r="C292" s="1" t="str">
        <f>IFERROR(__xludf.DUMMYFUNCTION("""COMPUTED_VALUE"""),"Approved - Construction Phase")</f>
        <v>Approved - Construction Phase</v>
      </c>
      <c r="D292" s="4">
        <f>IFERROR(__xludf.DUMMYFUNCTION("""COMPUTED_VALUE"""),880807.0)</f>
        <v>880807</v>
      </c>
      <c r="E292" s="5" t="s">
        <v>20</v>
      </c>
      <c r="J292" s="2" t="s">
        <v>26</v>
      </c>
      <c r="K292" s="2" t="s">
        <v>51</v>
      </c>
      <c r="L292" s="2" t="s">
        <v>50</v>
      </c>
      <c r="M292" s="5" t="s">
        <v>48</v>
      </c>
      <c r="N292" s="5" t="s">
        <v>37</v>
      </c>
      <c r="O292" s="5" t="s">
        <v>37</v>
      </c>
      <c r="S292" s="6"/>
      <c r="T292" s="6"/>
      <c r="U292" s="6"/>
      <c r="V292" s="6"/>
      <c r="W292" s="6"/>
      <c r="X292" s="6"/>
    </row>
    <row r="293">
      <c r="A293" s="1" t="str">
        <f>IFERROR(__xludf.DUMMYFUNCTION("""COMPUTED_VALUE"""),"2408-276")</f>
        <v>2408-276</v>
      </c>
      <c r="B293" s="1" t="str">
        <f>IFERROR(__xludf.DUMMYFUNCTION("""COMPUTED_VALUE"""),"Reilly-San-Clemente-Remodel")</f>
        <v>Reilly-San-Clemente-Remodel</v>
      </c>
      <c r="C293" s="1" t="str">
        <f>IFERROR(__xludf.DUMMYFUNCTION("""COMPUTED_VALUE"""),"Approved - Construction Phase")</f>
        <v>Approved - Construction Phase</v>
      </c>
      <c r="D293" s="4">
        <f>IFERROR(__xludf.DUMMYFUNCTION("""COMPUTED_VALUE"""),879757.0)</f>
        <v>879757</v>
      </c>
      <c r="E293" s="5" t="s">
        <v>34</v>
      </c>
      <c r="J293" s="2" t="s">
        <v>32</v>
      </c>
      <c r="K293" s="2" t="s">
        <v>25</v>
      </c>
      <c r="L293" s="2" t="s">
        <v>43</v>
      </c>
      <c r="M293" s="5" t="s">
        <v>24</v>
      </c>
      <c r="N293" s="5" t="s">
        <v>27</v>
      </c>
      <c r="O293" s="5" t="s">
        <v>37</v>
      </c>
      <c r="S293" s="6"/>
      <c r="T293" s="6"/>
      <c r="U293" s="6"/>
      <c r="V293" s="6"/>
      <c r="W293" s="6"/>
      <c r="X293" s="6"/>
    </row>
    <row r="294">
      <c r="A294" s="1" t="str">
        <f>IFERROR(__xludf.DUMMYFUNCTION("""COMPUTED_VALUE"""),"2408-275")</f>
        <v>2408-275</v>
      </c>
      <c r="B294" s="1" t="str">
        <f>IFERROR(__xludf.DUMMYFUNCTION("""COMPUTED_VALUE"""),"Litmanovitch-Wilshire-Penthouse-Remodel")</f>
        <v>Litmanovitch-Wilshire-Penthouse-Remodel</v>
      </c>
      <c r="C294" s="1" t="str">
        <f>IFERROR(__xludf.DUMMYFUNCTION("""COMPUTED_VALUE"""),"Abandoned,Expired")</f>
        <v>Abandoned,Expired</v>
      </c>
      <c r="D294" s="4">
        <f>IFERROR(__xludf.DUMMYFUNCTION("""COMPUTED_VALUE"""),876143.0)</f>
        <v>876143</v>
      </c>
      <c r="E294" s="5" t="s">
        <v>34</v>
      </c>
      <c r="J294" s="2" t="s">
        <v>49</v>
      </c>
      <c r="K294" s="2" t="s">
        <v>33</v>
      </c>
      <c r="L294" s="2" t="s">
        <v>33</v>
      </c>
      <c r="M294" s="5" t="s">
        <v>48</v>
      </c>
      <c r="N294" s="5" t="s">
        <v>44</v>
      </c>
      <c r="O294" s="5" t="s">
        <v>37</v>
      </c>
      <c r="S294" s="6"/>
      <c r="T294" s="6"/>
      <c r="U294" s="6"/>
      <c r="V294" s="6"/>
      <c r="W294" s="6"/>
      <c r="X294" s="6"/>
    </row>
    <row r="295">
      <c r="A295" s="1" t="str">
        <f>IFERROR(__xludf.DUMMYFUNCTION("""COMPUTED_VALUE"""),"2408-274")</f>
        <v>2408-274</v>
      </c>
      <c r="B295" s="1" t="str">
        <f>IFERROR(__xludf.DUMMYFUNCTION("""COMPUTED_VALUE"""),"Faith-Family-Inglewood-Site-Plans")</f>
        <v>Faith-Family-Inglewood-Site-Plans</v>
      </c>
      <c r="C295" s="1" t="str">
        <f>IFERROR(__xludf.DUMMYFUNCTION("""COMPUTED_VALUE"""),"Approved - Construction Phase")</f>
        <v>Approved - Construction Phase</v>
      </c>
      <c r="D295" s="4">
        <f>IFERROR(__xludf.DUMMYFUNCTION("""COMPUTED_VALUE"""),875007.0)</f>
        <v>875007</v>
      </c>
      <c r="E295" s="5" t="s">
        <v>20</v>
      </c>
      <c r="J295" s="2" t="s">
        <v>22</v>
      </c>
      <c r="K295" s="2" t="s">
        <v>42</v>
      </c>
      <c r="L295" s="2" t="s">
        <v>43</v>
      </c>
      <c r="M295" s="2" t="s">
        <v>24</v>
      </c>
      <c r="N295" s="5" t="s">
        <v>37</v>
      </c>
      <c r="O295" s="5" t="s">
        <v>37</v>
      </c>
      <c r="S295" s="3">
        <v>46006.757395092594</v>
      </c>
      <c r="T295" s="6"/>
      <c r="U295" s="6"/>
      <c r="V295" s="6"/>
      <c r="W295" s="6"/>
      <c r="X295" s="6"/>
    </row>
    <row r="296">
      <c r="A296" s="1" t="str">
        <f>IFERROR(__xludf.DUMMYFUNCTION("""COMPUTED_VALUE"""),"2407-273")</f>
        <v>2407-273</v>
      </c>
      <c r="B296" s="1" t="str">
        <f>IFERROR(__xludf.DUMMYFUNCTION("""COMPUTED_VALUE"""),"Sanchez - LA Multi Family Permitting")</f>
        <v>Sanchez - LA Multi Family Permitting</v>
      </c>
      <c r="C296" s="1" t="str">
        <f>IFERROR(__xludf.DUMMYFUNCTION("""COMPUTED_VALUE"""),"A008.2 Architectural Comment Responses")</f>
        <v>A008.2 Architectural Comment Responses</v>
      </c>
      <c r="D296" s="4">
        <f>IFERROR(__xludf.DUMMYFUNCTION("""COMPUTED_VALUE"""),873691.0)</f>
        <v>873691</v>
      </c>
      <c r="E296" s="5" t="s">
        <v>34</v>
      </c>
      <c r="J296" s="2" t="s">
        <v>39</v>
      </c>
      <c r="K296" s="2" t="s">
        <v>51</v>
      </c>
      <c r="L296" s="2" t="s">
        <v>32</v>
      </c>
      <c r="M296" s="5" t="s">
        <v>44</v>
      </c>
      <c r="N296" s="5" t="s">
        <v>27</v>
      </c>
      <c r="O296" s="5" t="s">
        <v>24</v>
      </c>
      <c r="S296" s="6"/>
      <c r="T296" s="6"/>
      <c r="U296" s="6"/>
      <c r="V296" s="6"/>
      <c r="W296" s="6"/>
      <c r="X296" s="6"/>
    </row>
    <row r="297">
      <c r="A297" s="1" t="str">
        <f>IFERROR(__xludf.DUMMYFUNCTION("""COMPUTED_VALUE"""),"2407-272")</f>
        <v>2407-272</v>
      </c>
      <c r="B297" s="1" t="str">
        <f>IFERROR(__xludf.DUMMYFUNCTION("""COMPUTED_VALUE"""),"Smith-Newport-Master Addition")</f>
        <v>Smith-Newport-Master Addition</v>
      </c>
      <c r="C297" s="1" t="str">
        <f>IFERROR(__xludf.DUMMYFUNCTION("""COMPUTED_VALUE"""),"Abandoned,Expired")</f>
        <v>Abandoned,Expired</v>
      </c>
      <c r="D297" s="4">
        <f>IFERROR(__xludf.DUMMYFUNCTION("""COMPUTED_VALUE"""),860177.0)</f>
        <v>860177</v>
      </c>
      <c r="E297" s="5" t="s">
        <v>34</v>
      </c>
      <c r="J297" s="2" t="s">
        <v>49</v>
      </c>
      <c r="K297" s="2" t="s">
        <v>36</v>
      </c>
      <c r="L297" s="2" t="s">
        <v>47</v>
      </c>
      <c r="M297" s="5" t="s">
        <v>27</v>
      </c>
      <c r="N297" s="5" t="s">
        <v>37</v>
      </c>
      <c r="O297" s="5" t="s">
        <v>44</v>
      </c>
      <c r="S297" s="6"/>
      <c r="T297" s="6"/>
      <c r="U297" s="6"/>
      <c r="V297" s="6"/>
      <c r="W297" s="3">
        <v>46006.0105709375</v>
      </c>
      <c r="X297" s="6"/>
    </row>
    <row r="298">
      <c r="A298" s="1" t="str">
        <f>IFERROR(__xludf.DUMMYFUNCTION("""COMPUTED_VALUE"""),"2407-271")</f>
        <v>2407-271</v>
      </c>
      <c r="B298" s="1" t="str">
        <f>IFERROR(__xludf.DUMMYFUNCTION("""COMPUTED_VALUE"""),"Lee - Fullerton - Addition - Remodel")</f>
        <v>Lee - Fullerton - Addition - Remodel</v>
      </c>
      <c r="C298" s="1" t="str">
        <f>IFERROR(__xludf.DUMMYFUNCTION("""COMPUTED_VALUE"""),"A009 Resubmitted")</f>
        <v>A009 Resubmitted</v>
      </c>
      <c r="D298" s="4">
        <f>IFERROR(__xludf.DUMMYFUNCTION("""COMPUTED_VALUE"""),861056.0)</f>
        <v>861056</v>
      </c>
      <c r="E298" s="5" t="s">
        <v>20</v>
      </c>
      <c r="J298" s="2" t="s">
        <v>40</v>
      </c>
      <c r="K298" s="2" t="s">
        <v>36</v>
      </c>
      <c r="L298" s="2" t="s">
        <v>35</v>
      </c>
      <c r="M298" s="5" t="s">
        <v>27</v>
      </c>
      <c r="N298" s="5" t="s">
        <v>27</v>
      </c>
      <c r="O298" s="5" t="s">
        <v>48</v>
      </c>
      <c r="S298" s="6"/>
      <c r="T298" s="6"/>
      <c r="U298" s="6"/>
      <c r="V298" s="6"/>
      <c r="W298" s="6"/>
      <c r="X298" s="6"/>
    </row>
    <row r="299">
      <c r="A299" s="1" t="str">
        <f>IFERROR(__xludf.DUMMYFUNCTION("""COMPUTED_VALUE"""),"2407-270")</f>
        <v>2407-270</v>
      </c>
      <c r="B299" s="1" t="str">
        <f>IFERROR(__xludf.DUMMYFUNCTION("""COMPUTED_VALUE"""),"Wright Big Bear Deck Extension")</f>
        <v>Wright Big Bear Deck Extension</v>
      </c>
      <c r="C299" s="1" t="str">
        <f>IFERROR(__xludf.DUMMYFUNCTION("""COMPUTED_VALUE"""),"Approved - Construction Phase")</f>
        <v>Approved - Construction Phase</v>
      </c>
      <c r="D299" s="4">
        <f>IFERROR(__xludf.DUMMYFUNCTION("""COMPUTED_VALUE"""),848408.0)</f>
        <v>848408</v>
      </c>
      <c r="E299" s="5" t="s">
        <v>20</v>
      </c>
      <c r="J299" s="2" t="s">
        <v>39</v>
      </c>
      <c r="K299" s="2" t="s">
        <v>47</v>
      </c>
      <c r="L299" s="2" t="s">
        <v>50</v>
      </c>
      <c r="M299" s="5" t="s">
        <v>27</v>
      </c>
      <c r="N299" s="5" t="s">
        <v>24</v>
      </c>
      <c r="O299" s="5" t="s">
        <v>27</v>
      </c>
      <c r="S299" s="6"/>
      <c r="T299" s="6"/>
      <c r="U299" s="6"/>
      <c r="V299" s="6"/>
      <c r="W299" s="3">
        <v>46006.068659641205</v>
      </c>
      <c r="X299" s="6"/>
    </row>
    <row r="300">
      <c r="A300" s="1" t="str">
        <f>IFERROR(__xludf.DUMMYFUNCTION("""COMPUTED_VALUE"""),"2407-269")</f>
        <v>2407-269</v>
      </c>
      <c r="B300" s="1" t="str">
        <f>IFERROR(__xludf.DUMMYFUNCTION("""COMPUTED_VALUE"""),"Walter San Marcos ADU Row Permit")</f>
        <v>Walter San Marcos ADU Row Permit</v>
      </c>
      <c r="C300" s="1" t="str">
        <f>IFERROR(__xludf.DUMMYFUNCTION("""COMPUTED_VALUE"""),"Approved - Construction Phase")</f>
        <v>Approved - Construction Phase</v>
      </c>
      <c r="D300" s="4">
        <f>IFERROR(__xludf.DUMMYFUNCTION("""COMPUTED_VALUE"""),848410.0)</f>
        <v>848410</v>
      </c>
      <c r="E300" s="5" t="s">
        <v>34</v>
      </c>
      <c r="J300" s="2" t="s">
        <v>39</v>
      </c>
      <c r="K300" s="2" t="s">
        <v>49</v>
      </c>
      <c r="L300" s="2" t="s">
        <v>32</v>
      </c>
      <c r="M300" s="5" t="s">
        <v>37</v>
      </c>
      <c r="N300" s="5" t="s">
        <v>44</v>
      </c>
      <c r="O300" s="5" t="s">
        <v>27</v>
      </c>
      <c r="S300" s="3">
        <v>46005.2067233912</v>
      </c>
      <c r="T300" s="6"/>
      <c r="U300" s="6"/>
      <c r="V300" s="6"/>
      <c r="W300" s="3">
        <v>46006.01519982639</v>
      </c>
      <c r="X300" s="6"/>
    </row>
    <row r="301">
      <c r="A301" s="1" t="str">
        <f>IFERROR(__xludf.DUMMYFUNCTION("""COMPUTED_VALUE"""),"2407-268")</f>
        <v>2407-268</v>
      </c>
      <c r="B301" s="1" t="str">
        <f>IFERROR(__xludf.DUMMYFUNCTION("""COMPUTED_VALUE"""),"Navarro - Hemet - New Home")</f>
        <v>Navarro - Hemet - New Home</v>
      </c>
      <c r="C301" s="1" t="str">
        <f>IFERROR(__xludf.DUMMYFUNCTION("""COMPUTED_VALUE"""),"A008.2 Architectural Comment Responses")</f>
        <v>A008.2 Architectural Comment Responses</v>
      </c>
      <c r="D301" s="4">
        <f>IFERROR(__xludf.DUMMYFUNCTION("""COMPUTED_VALUE"""),847007.0)</f>
        <v>847007</v>
      </c>
      <c r="E301" s="5" t="s">
        <v>34</v>
      </c>
      <c r="J301" s="2" t="s">
        <v>47</v>
      </c>
      <c r="K301" s="2" t="s">
        <v>35</v>
      </c>
      <c r="L301" s="2" t="s">
        <v>47</v>
      </c>
      <c r="M301" s="5" t="s">
        <v>37</v>
      </c>
      <c r="N301" s="5" t="s">
        <v>44</v>
      </c>
      <c r="O301" s="5" t="s">
        <v>44</v>
      </c>
      <c r="S301" s="6"/>
      <c r="T301" s="6"/>
      <c r="U301" s="6"/>
      <c r="V301" s="6"/>
      <c r="W301" s="6"/>
      <c r="X301" s="6"/>
    </row>
    <row r="302">
      <c r="A302" s="1" t="str">
        <f>IFERROR(__xludf.DUMMYFUNCTION("""COMPUTED_VALUE"""),"2407-267")</f>
        <v>2407-267</v>
      </c>
      <c r="B302" s="1" t="str">
        <f>IFERROR(__xludf.DUMMYFUNCTION("""COMPUTED_VALUE"""),"Huang-Yucca Valley - Ceiling Vault and Remodel")</f>
        <v>Huang-Yucca Valley - Ceiling Vault and Remodel</v>
      </c>
      <c r="C302" s="1" t="str">
        <f>IFERROR(__xludf.DUMMYFUNCTION("""COMPUTED_VALUE"""),"Abandoned,Expired")</f>
        <v>Abandoned,Expired</v>
      </c>
      <c r="D302" s="4">
        <f>IFERROR(__xludf.DUMMYFUNCTION("""COMPUTED_VALUE"""),840941.0)</f>
        <v>840941</v>
      </c>
      <c r="E302" s="5" t="s">
        <v>34</v>
      </c>
      <c r="J302" s="2" t="s">
        <v>35</v>
      </c>
      <c r="K302" s="2" t="s">
        <v>40</v>
      </c>
      <c r="L302" s="2" t="s">
        <v>32</v>
      </c>
      <c r="M302" s="5" t="s">
        <v>27</v>
      </c>
      <c r="N302" s="5" t="s">
        <v>27</v>
      </c>
      <c r="O302" s="5" t="s">
        <v>48</v>
      </c>
      <c r="S302" s="6"/>
      <c r="T302" s="6"/>
      <c r="U302" s="6"/>
      <c r="V302" s="6"/>
      <c r="W302" s="6"/>
      <c r="X302" s="6"/>
    </row>
    <row r="303">
      <c r="A303" s="1" t="str">
        <f>IFERROR(__xludf.DUMMYFUNCTION("""COMPUTED_VALUE"""),"2407-265")</f>
        <v>2407-265</v>
      </c>
      <c r="B303" s="1" t="str">
        <f>IFERROR(__xludf.DUMMYFUNCTION("""COMPUTED_VALUE"""),"Duan La Habra Land Use Appeal")</f>
        <v>Duan La Habra Land Use Appeal</v>
      </c>
      <c r="C303" s="1" t="str">
        <f>IFERROR(__xludf.DUMMYFUNCTION("""COMPUTED_VALUE"""),"Abandoned,Expired")</f>
        <v>Abandoned,Expired</v>
      </c>
      <c r="D303" s="4">
        <f>IFERROR(__xludf.DUMMYFUNCTION("""COMPUTED_VALUE"""),849335.0)</f>
        <v>849335</v>
      </c>
      <c r="E303" s="5" t="s">
        <v>34</v>
      </c>
      <c r="J303" s="2" t="s">
        <v>25</v>
      </c>
      <c r="K303" s="2" t="s">
        <v>50</v>
      </c>
      <c r="L303" s="2" t="s">
        <v>32</v>
      </c>
      <c r="M303" s="5" t="s">
        <v>27</v>
      </c>
      <c r="N303" s="5" t="s">
        <v>27</v>
      </c>
      <c r="O303" s="5" t="s">
        <v>24</v>
      </c>
      <c r="S303" s="6"/>
      <c r="T303" s="6"/>
      <c r="U303" s="6"/>
      <c r="V303" s="6"/>
      <c r="W303" s="6"/>
      <c r="X303" s="6"/>
    </row>
    <row r="304">
      <c r="A304" s="1" t="str">
        <f>IFERROR(__xludf.DUMMYFUNCTION("""COMPUTED_VALUE"""),"2406-266")</f>
        <v>2406-266</v>
      </c>
      <c r="B304" s="1" t="str">
        <f>IFERROR(__xludf.DUMMYFUNCTION("""COMPUTED_VALUE"""),"Tolan - Ojai - Office - Shed - Structural")</f>
        <v>Tolan - Ojai - Office - Shed - Structural</v>
      </c>
      <c r="C304" s="1" t="str">
        <f>IFERROR(__xludf.DUMMYFUNCTION("""COMPUTED_VALUE"""),"Approved - Construction Phase")</f>
        <v>Approved - Construction Phase</v>
      </c>
      <c r="D304" s="4">
        <f>IFERROR(__xludf.DUMMYFUNCTION("""COMPUTED_VALUE"""),842856.0)</f>
        <v>842856</v>
      </c>
      <c r="E304" s="5" t="s">
        <v>34</v>
      </c>
      <c r="J304" s="2" t="s">
        <v>47</v>
      </c>
      <c r="K304" s="2" t="s">
        <v>39</v>
      </c>
      <c r="L304" s="2" t="s">
        <v>36</v>
      </c>
      <c r="M304" s="5" t="s">
        <v>37</v>
      </c>
      <c r="N304" s="5" t="s">
        <v>37</v>
      </c>
      <c r="O304" s="5" t="s">
        <v>48</v>
      </c>
      <c r="S304" s="6"/>
      <c r="T304" s="6"/>
      <c r="U304" s="6"/>
      <c r="V304" s="6"/>
      <c r="W304" s="6"/>
      <c r="X304" s="6"/>
    </row>
    <row r="305">
      <c r="A305" s="1" t="str">
        <f>IFERROR(__xludf.DUMMYFUNCTION("""COMPUTED_VALUE"""),"2406-264")</f>
        <v>2406-264</v>
      </c>
      <c r="B305" s="1" t="str">
        <f>IFERROR(__xludf.DUMMYFUNCTION("""COMPUTED_VALUE"""),"Krauthoff - Torrance - ADU")</f>
        <v>Krauthoff - Torrance - ADU</v>
      </c>
      <c r="C305" s="1" t="str">
        <f>IFERROR(__xludf.DUMMYFUNCTION("""COMPUTED_VALUE"""),"A008.2 Architectural Comment Responses")</f>
        <v>A008.2 Architectural Comment Responses</v>
      </c>
      <c r="D305" s="4">
        <f>IFERROR(__xludf.DUMMYFUNCTION("""COMPUTED_VALUE"""),831432.0)</f>
        <v>831432</v>
      </c>
      <c r="E305" s="5" t="s">
        <v>34</v>
      </c>
      <c r="F305" s="2"/>
      <c r="J305" s="2" t="s">
        <v>42</v>
      </c>
      <c r="K305" s="2" t="s">
        <v>33</v>
      </c>
      <c r="L305" s="2" t="s">
        <v>50</v>
      </c>
      <c r="M305" s="5" t="s">
        <v>44</v>
      </c>
      <c r="N305" s="5" t="s">
        <v>24</v>
      </c>
      <c r="O305" s="5" t="s">
        <v>44</v>
      </c>
      <c r="S305" s="6"/>
      <c r="T305" s="6"/>
      <c r="U305" s="6"/>
      <c r="V305" s="3">
        <v>46006.05565023149</v>
      </c>
      <c r="W305" s="3">
        <v>46006.05279534722</v>
      </c>
      <c r="X305" s="6"/>
    </row>
    <row r="306">
      <c r="A306" s="1" t="str">
        <f>IFERROR(__xludf.DUMMYFUNCTION("""COMPUTED_VALUE"""),"2406-263")</f>
        <v>2406-263</v>
      </c>
      <c r="B306" s="1" t="str">
        <f>IFERROR(__xludf.DUMMYFUNCTION("""COMPUTED_VALUE"""),"Armstrong - Lakewood - Garage - ADU (2406-263)")</f>
        <v>Armstrong - Lakewood - Garage - ADU (2406-263)</v>
      </c>
      <c r="C306" s="1" t="str">
        <f>IFERROR(__xludf.DUMMYFUNCTION("""COMPUTED_VALUE"""),"Approved - Construction Phase")</f>
        <v>Approved - Construction Phase</v>
      </c>
      <c r="D306" s="4">
        <f>IFERROR(__xludf.DUMMYFUNCTION("""COMPUTED_VALUE"""),834942.0)</f>
        <v>834942</v>
      </c>
      <c r="E306" s="5" t="s">
        <v>20</v>
      </c>
      <c r="J306" s="2" t="s">
        <v>22</v>
      </c>
      <c r="K306" s="2" t="s">
        <v>26</v>
      </c>
      <c r="L306" s="2" t="s">
        <v>23</v>
      </c>
      <c r="M306" s="5" t="s">
        <v>24</v>
      </c>
      <c r="N306" s="5" t="s">
        <v>27</v>
      </c>
      <c r="O306" s="5" t="s">
        <v>24</v>
      </c>
      <c r="S306" s="6"/>
      <c r="T306" s="6"/>
      <c r="U306" s="6"/>
      <c r="V306" s="6"/>
      <c r="W306" s="6"/>
      <c r="X306" s="6"/>
    </row>
    <row r="307">
      <c r="A307" s="1" t="str">
        <f>IFERROR(__xludf.DUMMYFUNCTION("""COMPUTED_VALUE"""),"2406-262")</f>
        <v>2406-262</v>
      </c>
      <c r="B307" s="1" t="str">
        <f>IFERROR(__xludf.DUMMYFUNCTION("""COMPUTED_VALUE"""),"Robert - SD - Remodel and Addition")</f>
        <v>Robert - SD - Remodel and Addition</v>
      </c>
      <c r="C307" s="1" t="str">
        <f>IFERROR(__xludf.DUMMYFUNCTION("""COMPUTED_VALUE"""),"Abandoned,Expired")</f>
        <v>Abandoned,Expired</v>
      </c>
      <c r="D307" s="4">
        <f>IFERROR(__xludf.DUMMYFUNCTION("""COMPUTED_VALUE"""),832559.0)</f>
        <v>832559</v>
      </c>
      <c r="E307" s="5" t="s">
        <v>20</v>
      </c>
      <c r="J307" s="2" t="s">
        <v>39</v>
      </c>
      <c r="K307" s="2" t="s">
        <v>35</v>
      </c>
      <c r="L307" s="2" t="s">
        <v>25</v>
      </c>
      <c r="M307" s="5" t="s">
        <v>44</v>
      </c>
      <c r="N307" s="5" t="s">
        <v>37</v>
      </c>
      <c r="O307" s="5" t="s">
        <v>44</v>
      </c>
      <c r="S307" s="6"/>
      <c r="T307" s="6"/>
      <c r="U307" s="6"/>
      <c r="V307" s="6"/>
      <c r="W307" s="6"/>
      <c r="X307" s="6"/>
    </row>
    <row r="308">
      <c r="A308" s="1" t="str">
        <f>IFERROR(__xludf.DUMMYFUNCTION("""COMPUTED_VALUE"""),"2406-261")</f>
        <v>2406-261</v>
      </c>
      <c r="B308" s="1" t="str">
        <f>IFERROR(__xludf.DUMMYFUNCTION("""COMPUTED_VALUE"""),"Sherritt - Landers - Rehab")</f>
        <v>Sherritt - Landers - Rehab</v>
      </c>
      <c r="C308" s="1" t="str">
        <f>IFERROR(__xludf.DUMMYFUNCTION("""COMPUTED_VALUE"""),"A009 Resubmitted")</f>
        <v>A009 Resubmitted</v>
      </c>
      <c r="D308" s="4">
        <f>IFERROR(__xludf.DUMMYFUNCTION("""COMPUTED_VALUE"""),822285.0)</f>
        <v>822285</v>
      </c>
      <c r="E308" s="5" t="s">
        <v>34</v>
      </c>
      <c r="J308" s="2" t="s">
        <v>50</v>
      </c>
      <c r="K308" s="2" t="s">
        <v>51</v>
      </c>
      <c r="L308" s="2" t="s">
        <v>39</v>
      </c>
      <c r="M308" s="5" t="s">
        <v>44</v>
      </c>
      <c r="N308" s="5" t="s">
        <v>24</v>
      </c>
      <c r="O308" s="5" t="s">
        <v>44</v>
      </c>
      <c r="S308" s="6"/>
      <c r="T308" s="6"/>
      <c r="U308" s="6"/>
      <c r="V308" s="6"/>
      <c r="W308" s="6"/>
      <c r="X308" s="6"/>
    </row>
    <row r="309">
      <c r="A309" s="1" t="str">
        <f>IFERROR(__xludf.DUMMYFUNCTION("""COMPUTED_VALUE"""),"2406-260")</f>
        <v>2406-260</v>
      </c>
      <c r="B309" s="1" t="str">
        <f>IFERROR(__xludf.DUMMYFUNCTION("""COMPUTED_VALUE"""),"Andersen - San Diego - ADU &amp; JADU - Workshop")</f>
        <v>Andersen - San Diego - ADU &amp; JADU - Workshop</v>
      </c>
      <c r="C309" s="1" t="str">
        <f>IFERROR(__xludf.DUMMYFUNCTION("""COMPUTED_VALUE"""),"A008.2 Architectural Comment Responses")</f>
        <v>A008.2 Architectural Comment Responses</v>
      </c>
      <c r="D309" s="4">
        <f>IFERROR(__xludf.DUMMYFUNCTION("""COMPUTED_VALUE"""),825608.0)</f>
        <v>825608</v>
      </c>
      <c r="E309" s="5" t="s">
        <v>20</v>
      </c>
      <c r="J309" s="2" t="s">
        <v>50</v>
      </c>
      <c r="K309" s="2" t="s">
        <v>23</v>
      </c>
      <c r="L309" s="2" t="s">
        <v>42</v>
      </c>
      <c r="M309" s="5" t="s">
        <v>48</v>
      </c>
      <c r="N309" s="5" t="s">
        <v>44</v>
      </c>
      <c r="O309" s="5" t="s">
        <v>37</v>
      </c>
      <c r="S309" s="6"/>
      <c r="T309" s="6"/>
      <c r="U309" s="6"/>
      <c r="V309" s="6"/>
      <c r="W309" s="3">
        <v>46006.03382009259</v>
      </c>
      <c r="X309" s="6"/>
    </row>
    <row r="310">
      <c r="A310" s="1" t="str">
        <f>IFERROR(__xludf.DUMMYFUNCTION("""COMPUTED_VALUE"""),"2406-259")</f>
        <v>2406-259</v>
      </c>
      <c r="B310" s="1" t="str">
        <f>IFERROR(__xludf.DUMMYFUNCTION("""COMPUTED_VALUE"""),"Wirt - Malibu - Sea Wall - Structural")</f>
        <v>Wirt - Malibu - Sea Wall - Structural</v>
      </c>
      <c r="C310" s="1" t="str">
        <f>IFERROR(__xludf.DUMMYFUNCTION("""COMPUTED_VALUE"""),"Abandoned,Expired")</f>
        <v>Abandoned,Expired</v>
      </c>
      <c r="D310" s="4">
        <f>IFERROR(__xludf.DUMMYFUNCTION("""COMPUTED_VALUE"""),820454.0)</f>
        <v>820454</v>
      </c>
      <c r="E310" s="5" t="s">
        <v>34</v>
      </c>
      <c r="J310" s="2" t="s">
        <v>23</v>
      </c>
      <c r="K310" s="2" t="s">
        <v>25</v>
      </c>
      <c r="L310" s="2" t="s">
        <v>32</v>
      </c>
      <c r="M310" s="5" t="s">
        <v>37</v>
      </c>
      <c r="N310" s="5" t="s">
        <v>24</v>
      </c>
      <c r="O310" s="5" t="s">
        <v>27</v>
      </c>
      <c r="S310" s="6"/>
      <c r="T310" s="6"/>
      <c r="U310" s="6"/>
      <c r="V310" s="6"/>
      <c r="W310" s="6"/>
      <c r="X310" s="6"/>
    </row>
    <row r="311">
      <c r="A311" s="1" t="str">
        <f>IFERROR(__xludf.DUMMYFUNCTION("""COMPUTED_VALUE"""),"2406-258")</f>
        <v>2406-258</v>
      </c>
      <c r="B311" s="1" t="str">
        <f>IFERROR(__xludf.DUMMYFUNCTION("""COMPUTED_VALUE"""),"Chen - La Mesa - New Home &amp; ADU")</f>
        <v>Chen - La Mesa - New Home &amp; ADU</v>
      </c>
      <c r="C311" s="1" t="str">
        <f>IFERROR(__xludf.DUMMYFUNCTION("""COMPUTED_VALUE"""),"A008.2 Architectural Comment Responses")</f>
        <v>A008.2 Architectural Comment Responses</v>
      </c>
      <c r="D311" s="4">
        <f>IFERROR(__xludf.DUMMYFUNCTION("""COMPUTED_VALUE"""),815883.0)</f>
        <v>815883</v>
      </c>
      <c r="E311" s="5" t="s">
        <v>34</v>
      </c>
      <c r="J311" s="2" t="s">
        <v>50</v>
      </c>
      <c r="K311" s="2" t="s">
        <v>35</v>
      </c>
      <c r="L311" s="2" t="s">
        <v>23</v>
      </c>
      <c r="M311" s="5" t="s">
        <v>27</v>
      </c>
      <c r="N311" s="5" t="s">
        <v>24</v>
      </c>
      <c r="O311" s="5" t="s">
        <v>27</v>
      </c>
      <c r="S311" s="6"/>
      <c r="T311" s="6"/>
      <c r="U311" s="6"/>
      <c r="V311" s="6"/>
      <c r="W311" s="6"/>
      <c r="X311" s="6"/>
    </row>
    <row r="312">
      <c r="A312" s="1" t="str">
        <f>IFERROR(__xludf.DUMMYFUNCTION("""COMPUTED_VALUE"""),"2406-257")</f>
        <v>2406-257</v>
      </c>
      <c r="B312" s="1" t="str">
        <f>IFERROR(__xludf.DUMMYFUNCTION("""COMPUTED_VALUE"""),"Hunter - Ocean Beach - ADU &amp; JADU")</f>
        <v>Hunter - Ocean Beach - ADU &amp; JADU</v>
      </c>
      <c r="C312" s="1" t="str">
        <f>IFERROR(__xludf.DUMMYFUNCTION("""COMPUTED_VALUE"""),"Approved - Construction Phase")</f>
        <v>Approved - Construction Phase</v>
      </c>
      <c r="D312" s="4">
        <f>IFERROR(__xludf.DUMMYFUNCTION("""COMPUTED_VALUE"""),813370.0)</f>
        <v>813370</v>
      </c>
      <c r="E312" s="5" t="s">
        <v>20</v>
      </c>
      <c r="F312" s="2"/>
      <c r="J312" s="2" t="s">
        <v>25</v>
      </c>
      <c r="K312" s="2" t="s">
        <v>35</v>
      </c>
      <c r="L312" s="2" t="s">
        <v>23</v>
      </c>
      <c r="M312" s="5" t="s">
        <v>48</v>
      </c>
      <c r="N312" s="5" t="s">
        <v>27</v>
      </c>
      <c r="O312" s="5" t="s">
        <v>44</v>
      </c>
      <c r="S312" s="3">
        <v>46006.069965243056</v>
      </c>
      <c r="T312" s="6"/>
      <c r="U312" s="6"/>
      <c r="V312" s="3">
        <v>46005.445947326385</v>
      </c>
      <c r="W312" s="3">
        <v>46005.445997083334</v>
      </c>
      <c r="X312" s="6"/>
    </row>
    <row r="313">
      <c r="A313" s="1" t="str">
        <f>IFERROR(__xludf.DUMMYFUNCTION("""COMPUTED_VALUE"""),"2406-256")</f>
        <v>2406-256</v>
      </c>
      <c r="B313" s="1" t="str">
        <f>IFERROR(__xludf.DUMMYFUNCTION("""COMPUTED_VALUE"""),"Pedram - Palm Springs - New Home &amp; ADU")</f>
        <v>Pedram - Palm Springs - New Home &amp; ADU</v>
      </c>
      <c r="C313" s="1" t="str">
        <f>IFERROR(__xludf.DUMMYFUNCTION("""COMPUTED_VALUE"""),"Abandoned,Expired")</f>
        <v>Abandoned,Expired</v>
      </c>
      <c r="D313" s="4">
        <f>IFERROR(__xludf.DUMMYFUNCTION("""COMPUTED_VALUE"""),815875.0)</f>
        <v>815875</v>
      </c>
      <c r="E313" s="5" t="s">
        <v>20</v>
      </c>
      <c r="J313" s="2" t="s">
        <v>32</v>
      </c>
      <c r="K313" s="2" t="s">
        <v>26</v>
      </c>
      <c r="L313" s="2" t="s">
        <v>47</v>
      </c>
      <c r="M313" s="5" t="s">
        <v>44</v>
      </c>
      <c r="N313" s="5" t="s">
        <v>27</v>
      </c>
      <c r="O313" s="5" t="s">
        <v>48</v>
      </c>
      <c r="S313" s="6"/>
      <c r="T313" s="6"/>
      <c r="U313" s="6"/>
      <c r="V313" s="6"/>
      <c r="W313" s="3">
        <v>46006.03384827546</v>
      </c>
      <c r="X313" s="6"/>
    </row>
    <row r="314">
      <c r="A314" s="1" t="str">
        <f>IFERROR(__xludf.DUMMYFUNCTION("""COMPUTED_VALUE"""),"2406-254")</f>
        <v>2406-254</v>
      </c>
      <c r="B314" s="1" t="str">
        <f>IFERROR(__xludf.DUMMYFUNCTION("""COMPUTED_VALUE"""),"Beer - El Cajon - ADU")</f>
        <v>Beer - El Cajon - ADU</v>
      </c>
      <c r="C314" s="1" t="str">
        <f>IFERROR(__xludf.DUMMYFUNCTION("""COMPUTED_VALUE"""),"A009 Resubmitted")</f>
        <v>A009 Resubmitted</v>
      </c>
      <c r="D314" s="4">
        <f>IFERROR(__xludf.DUMMYFUNCTION("""COMPUTED_VALUE"""),819290.0)</f>
        <v>819290</v>
      </c>
      <c r="E314" s="5" t="s">
        <v>20</v>
      </c>
      <c r="J314" s="2" t="s">
        <v>22</v>
      </c>
      <c r="K314" s="2" t="s">
        <v>36</v>
      </c>
      <c r="L314" s="2" t="s">
        <v>25</v>
      </c>
      <c r="M314" s="5" t="s">
        <v>37</v>
      </c>
      <c r="N314" s="5" t="s">
        <v>48</v>
      </c>
      <c r="O314" s="5" t="s">
        <v>37</v>
      </c>
      <c r="S314" s="6"/>
      <c r="T314" s="6"/>
      <c r="U314" s="6"/>
      <c r="V314" s="6"/>
      <c r="W314" s="6"/>
      <c r="X314" s="6"/>
    </row>
    <row r="315">
      <c r="A315" s="1" t="str">
        <f>IFERROR(__xludf.DUMMYFUNCTION("""COMPUTED_VALUE"""),"2406-253")</f>
        <v>2406-253</v>
      </c>
      <c r="B315" s="1" t="str">
        <f>IFERROR(__xludf.DUMMYFUNCTION("""COMPUTED_VALUE"""),"Judd - Ventura - Remodel")</f>
        <v>Judd - Ventura - Remodel</v>
      </c>
      <c r="C315" s="1" t="str">
        <f>IFERROR(__xludf.DUMMYFUNCTION("""COMPUTED_VALUE"""),"Approved - Construction Phase")</f>
        <v>Approved - Construction Phase</v>
      </c>
      <c r="D315" s="4">
        <f>IFERROR(__xludf.DUMMYFUNCTION("""COMPUTED_VALUE"""),815842.0)</f>
        <v>815842</v>
      </c>
      <c r="E315" s="5" t="s">
        <v>20</v>
      </c>
      <c r="J315" s="2" t="s">
        <v>47</v>
      </c>
      <c r="K315" s="2" t="s">
        <v>33</v>
      </c>
      <c r="L315" s="2" t="s">
        <v>33</v>
      </c>
      <c r="M315" s="5" t="s">
        <v>24</v>
      </c>
      <c r="N315" s="5" t="s">
        <v>24</v>
      </c>
      <c r="O315" s="5" t="s">
        <v>37</v>
      </c>
      <c r="S315" s="6"/>
      <c r="T315" s="6"/>
      <c r="U315" s="6"/>
      <c r="V315" s="6"/>
      <c r="W315" s="3">
        <v>46006.01198113426</v>
      </c>
      <c r="X315" s="6"/>
    </row>
    <row r="316">
      <c r="A316" s="1" t="str">
        <f>IFERROR(__xludf.DUMMYFUNCTION("""COMPUTED_VALUE"""),"2406-252")</f>
        <v>2406-252</v>
      </c>
      <c r="B316" s="1" t="str">
        <f>IFERROR(__xludf.DUMMYFUNCTION("""COMPUTED_VALUE"""),"Suner - Fontana - Sunroom - Structrual")</f>
        <v>Suner - Fontana - Sunroom - Structrual</v>
      </c>
      <c r="C316" s="1" t="str">
        <f>IFERROR(__xludf.DUMMYFUNCTION("""COMPUTED_VALUE"""),"Approved - Construction Phase")</f>
        <v>Approved - Construction Phase</v>
      </c>
      <c r="D316" s="4">
        <f>IFERROR(__xludf.DUMMYFUNCTION("""COMPUTED_VALUE"""),810206.0)</f>
        <v>810206</v>
      </c>
      <c r="E316" s="5" t="s">
        <v>20</v>
      </c>
      <c r="J316" s="2" t="s">
        <v>47</v>
      </c>
      <c r="K316" s="2" t="s">
        <v>40</v>
      </c>
      <c r="L316" s="2" t="s">
        <v>39</v>
      </c>
      <c r="M316" s="5" t="s">
        <v>44</v>
      </c>
      <c r="N316" s="5" t="s">
        <v>27</v>
      </c>
      <c r="O316" s="5" t="s">
        <v>27</v>
      </c>
      <c r="S316" s="6"/>
      <c r="T316" s="6"/>
      <c r="U316" s="6"/>
      <c r="V316" s="6"/>
      <c r="W316" s="6"/>
      <c r="X316" s="6"/>
    </row>
    <row r="317">
      <c r="A317" s="1" t="str">
        <f>IFERROR(__xludf.DUMMYFUNCTION("""COMPUTED_VALUE"""),"2406-251")</f>
        <v>2406-251</v>
      </c>
      <c r="B317" s="1" t="str">
        <f>IFERROR(__xludf.DUMMYFUNCTION("""COMPUTED_VALUE"""),"Omer - San Diego - Kitchen - TI")</f>
        <v>Omer - San Diego - Kitchen - TI</v>
      </c>
      <c r="C317" s="1" t="str">
        <f>IFERROR(__xludf.DUMMYFUNCTION("""COMPUTED_VALUE"""),"A008.8 Pending Resubmittal")</f>
        <v>A008.8 Pending Resubmittal</v>
      </c>
      <c r="D317" s="4">
        <f>IFERROR(__xludf.DUMMYFUNCTION("""COMPUTED_VALUE"""),819889.0)</f>
        <v>819889</v>
      </c>
      <c r="E317" s="5" t="s">
        <v>20</v>
      </c>
      <c r="J317" s="2" t="s">
        <v>36</v>
      </c>
      <c r="K317" s="2" t="s">
        <v>35</v>
      </c>
      <c r="L317" s="2" t="s">
        <v>36</v>
      </c>
      <c r="M317" s="5" t="s">
        <v>24</v>
      </c>
      <c r="N317" s="5" t="s">
        <v>37</v>
      </c>
      <c r="O317" s="5" t="s">
        <v>44</v>
      </c>
      <c r="S317" s="6"/>
      <c r="T317" s="6"/>
      <c r="U317" s="6"/>
      <c r="V317" s="6"/>
      <c r="W317" s="3">
        <v>46006.06861509259</v>
      </c>
      <c r="X317" s="6"/>
    </row>
    <row r="318">
      <c r="A318" s="1" t="str">
        <f>IFERROR(__xludf.DUMMYFUNCTION("""COMPUTED_VALUE"""),"2405-250")</f>
        <v>2405-250</v>
      </c>
      <c r="B318" s="1" t="str">
        <f>IFERROR(__xludf.DUMMYFUNCTION("""COMPUTED_VALUE"""),"O&amp;apos;Leary - Ventura - Remodel")</f>
        <v>O&amp;apos;Leary - Ventura - Remodel</v>
      </c>
      <c r="C318" s="1" t="str">
        <f>IFERROR(__xludf.DUMMYFUNCTION("""COMPUTED_VALUE"""),"Approved - Construction Phase")</f>
        <v>Approved - Construction Phase</v>
      </c>
      <c r="D318" s="4">
        <f>IFERROR(__xludf.DUMMYFUNCTION("""COMPUTED_VALUE"""),799457.0)</f>
        <v>799457</v>
      </c>
      <c r="E318" s="5" t="s">
        <v>34</v>
      </c>
      <c r="J318" s="2" t="s">
        <v>40</v>
      </c>
      <c r="K318" s="2" t="s">
        <v>36</v>
      </c>
      <c r="L318" s="2" t="s">
        <v>51</v>
      </c>
      <c r="M318" s="5" t="s">
        <v>44</v>
      </c>
      <c r="N318" s="5" t="s">
        <v>48</v>
      </c>
      <c r="O318" s="5" t="s">
        <v>27</v>
      </c>
      <c r="S318" s="6"/>
      <c r="T318" s="6"/>
      <c r="U318" s="6"/>
      <c r="V318" s="6"/>
      <c r="W318" s="6"/>
      <c r="X318" s="6"/>
    </row>
    <row r="319">
      <c r="A319" s="1" t="str">
        <f>IFERROR(__xludf.DUMMYFUNCTION("""COMPUTED_VALUE"""),"2405-249")</f>
        <v>2405-249</v>
      </c>
      <c r="B319" s="1" t="str">
        <f>IFERROR(__xludf.DUMMYFUNCTION("""COMPUTED_VALUE"""),"Fishman Porch Construction Docs")</f>
        <v>Fishman Porch Construction Docs</v>
      </c>
      <c r="C319" s="1" t="str">
        <f>IFERROR(__xludf.DUMMYFUNCTION("""COMPUTED_VALUE"""),"Completed - Sent to Client")</f>
        <v>Completed - Sent to Client</v>
      </c>
      <c r="D319" s="4">
        <f>IFERROR(__xludf.DUMMYFUNCTION("""COMPUTED_VALUE"""),799039.0)</f>
        <v>799039</v>
      </c>
      <c r="E319" s="5" t="s">
        <v>34</v>
      </c>
      <c r="J319" s="2" t="s">
        <v>25</v>
      </c>
      <c r="K319" s="2" t="s">
        <v>25</v>
      </c>
      <c r="L319" s="2" t="s">
        <v>32</v>
      </c>
      <c r="M319" s="5" t="s">
        <v>24</v>
      </c>
      <c r="N319" s="5" t="s">
        <v>27</v>
      </c>
      <c r="O319" s="5" t="s">
        <v>24</v>
      </c>
      <c r="S319" s="6"/>
      <c r="T319" s="6"/>
      <c r="U319" s="6"/>
      <c r="V319" s="6"/>
      <c r="W319" s="6"/>
      <c r="X319" s="6"/>
    </row>
    <row r="320">
      <c r="A320" s="1" t="str">
        <f>IFERROR(__xludf.DUMMYFUNCTION("""COMPUTED_VALUE"""),"2405-248")</f>
        <v>2405-248</v>
      </c>
      <c r="B320" s="1" t="str">
        <f>IFERROR(__xludf.DUMMYFUNCTION("""COMPUTED_VALUE"""),"Kelly - Los Angeles - Balcony Repair Plans")</f>
        <v>Kelly - Los Angeles - Balcony Repair Plans</v>
      </c>
      <c r="C320" s="1" t="str">
        <f>IFERROR(__xludf.DUMMYFUNCTION("""COMPUTED_VALUE"""),"Approved - Construction Phase")</f>
        <v>Approved - Construction Phase</v>
      </c>
      <c r="D320" s="4">
        <f>IFERROR(__xludf.DUMMYFUNCTION("""COMPUTED_VALUE"""),799443.0)</f>
        <v>799443</v>
      </c>
      <c r="E320" s="5" t="s">
        <v>20</v>
      </c>
      <c r="J320" s="2" t="s">
        <v>43</v>
      </c>
      <c r="K320" s="2" t="s">
        <v>33</v>
      </c>
      <c r="L320" s="2" t="s">
        <v>51</v>
      </c>
      <c r="M320" s="5" t="s">
        <v>48</v>
      </c>
      <c r="N320" s="5" t="s">
        <v>37</v>
      </c>
      <c r="O320" s="5" t="s">
        <v>48</v>
      </c>
      <c r="S320" s="6"/>
      <c r="T320" s="6"/>
      <c r="U320" s="6"/>
      <c r="V320" s="6"/>
      <c r="W320" s="6"/>
      <c r="X320" s="6"/>
    </row>
    <row r="321">
      <c r="A321" s="1" t="str">
        <f>IFERROR(__xludf.DUMMYFUNCTION("""COMPUTED_VALUE"""),"2405-246")</f>
        <v>2405-246</v>
      </c>
      <c r="B321" s="1" t="str">
        <f>IFERROR(__xludf.DUMMYFUNCTION("""COMPUTED_VALUE"""),"TMK Steel Beam Calcs")</f>
        <v>TMK Steel Beam Calcs</v>
      </c>
      <c r="C321" s="1" t="str">
        <f>IFERROR(__xludf.DUMMYFUNCTION("""COMPUTED_VALUE"""),"Abandoned,Expired")</f>
        <v>Abandoned,Expired</v>
      </c>
      <c r="D321" s="4">
        <f>IFERROR(__xludf.DUMMYFUNCTION("""COMPUTED_VALUE"""),794143.0)</f>
        <v>794143</v>
      </c>
      <c r="E321" s="5" t="s">
        <v>20</v>
      </c>
      <c r="J321" s="2" t="s">
        <v>35</v>
      </c>
      <c r="K321" s="2" t="s">
        <v>47</v>
      </c>
      <c r="L321" s="2" t="s">
        <v>33</v>
      </c>
      <c r="M321" s="5" t="s">
        <v>27</v>
      </c>
      <c r="N321" s="5" t="s">
        <v>44</v>
      </c>
      <c r="O321" s="5" t="s">
        <v>48</v>
      </c>
      <c r="S321" s="6"/>
      <c r="T321" s="6"/>
      <c r="U321" s="6"/>
      <c r="V321" s="6"/>
      <c r="W321" s="3">
        <v>46006.052718680556</v>
      </c>
      <c r="X321" s="6"/>
    </row>
    <row r="322">
      <c r="A322" s="1" t="str">
        <f>IFERROR(__xludf.DUMMYFUNCTION("""COMPUTED_VALUE"""),"2405-245")</f>
        <v>2405-245</v>
      </c>
      <c r="B322" s="1" t="str">
        <f>IFERROR(__xludf.DUMMYFUNCTION("""COMPUTED_VALUE"""),"Duran - Simi Valley - Banquet Hall")</f>
        <v>Duran - Simi Valley - Banquet Hall</v>
      </c>
      <c r="C322" s="1" t="str">
        <f>IFERROR(__xludf.DUMMYFUNCTION("""COMPUTED_VALUE"""),"Completed - Sent to Client")</f>
        <v>Completed - Sent to Client</v>
      </c>
      <c r="D322" s="4">
        <f>IFERROR(__xludf.DUMMYFUNCTION("""COMPUTED_VALUE"""),788160.0)</f>
        <v>788160</v>
      </c>
      <c r="E322" s="5" t="s">
        <v>34</v>
      </c>
      <c r="J322" s="2" t="s">
        <v>26</v>
      </c>
      <c r="K322" s="2" t="s">
        <v>49</v>
      </c>
      <c r="L322" s="2" t="s">
        <v>25</v>
      </c>
      <c r="M322" s="5" t="s">
        <v>27</v>
      </c>
      <c r="N322" s="5" t="s">
        <v>48</v>
      </c>
      <c r="O322" s="5" t="s">
        <v>24</v>
      </c>
      <c r="S322" s="6"/>
      <c r="T322" s="6"/>
      <c r="U322" s="6"/>
      <c r="V322" s="6"/>
      <c r="W322" s="6"/>
      <c r="X322" s="6"/>
    </row>
    <row r="323">
      <c r="A323" s="1" t="str">
        <f>IFERROR(__xludf.DUMMYFUNCTION("""COMPUTED_VALUE"""),"2405-127")</f>
        <v>2405-127</v>
      </c>
      <c r="B323" s="1" t="str">
        <f>IFERROR(__xludf.DUMMYFUNCTION("""COMPUTED_VALUE"""),"Daza-OC-Home Scan")</f>
        <v>Daza-OC-Home Scan</v>
      </c>
      <c r="C323" s="1" t="str">
        <f>IFERROR(__xludf.DUMMYFUNCTION("""COMPUTED_VALUE"""),"Abandoned,Expired")</f>
        <v>Abandoned,Expired</v>
      </c>
      <c r="D323" s="4">
        <f>IFERROR(__xludf.DUMMYFUNCTION("""COMPUTED_VALUE"""),835015.0)</f>
        <v>835015</v>
      </c>
      <c r="E323" s="5" t="s">
        <v>34</v>
      </c>
      <c r="J323" s="2" t="s">
        <v>25</v>
      </c>
      <c r="K323" s="2" t="s">
        <v>32</v>
      </c>
      <c r="L323" s="2" t="s">
        <v>40</v>
      </c>
      <c r="M323" s="5" t="s">
        <v>27</v>
      </c>
      <c r="N323" s="5" t="s">
        <v>24</v>
      </c>
      <c r="O323" s="5" t="s">
        <v>37</v>
      </c>
      <c r="S323" s="6"/>
      <c r="T323" s="6"/>
      <c r="U323" s="6"/>
      <c r="V323" s="6"/>
      <c r="W323" s="6"/>
      <c r="X323" s="6"/>
    </row>
    <row r="324">
      <c r="A324" s="1" t="str">
        <f>IFERROR(__xludf.DUMMYFUNCTION("""COMPUTED_VALUE"""),"2404-244")</f>
        <v>2404-244</v>
      </c>
      <c r="B324" s="1" t="str">
        <f>IFERROR(__xludf.DUMMYFUNCTION("""COMPUTED_VALUE"""),"Blacker - Los Angeles - Design Plans")</f>
        <v>Blacker - Los Angeles - Design Plans</v>
      </c>
      <c r="C324" s="1" t="str">
        <f>IFERROR(__xludf.DUMMYFUNCTION("""COMPUTED_VALUE"""),"Approved - Construction Phase")</f>
        <v>Approved - Construction Phase</v>
      </c>
      <c r="D324" s="4">
        <f>IFERROR(__xludf.DUMMYFUNCTION("""COMPUTED_VALUE"""),783827.0)</f>
        <v>783827</v>
      </c>
      <c r="E324" s="5" t="s">
        <v>20</v>
      </c>
      <c r="F324" s="2"/>
      <c r="J324" s="2" t="s">
        <v>36</v>
      </c>
      <c r="K324" s="2" t="s">
        <v>23</v>
      </c>
      <c r="L324" s="2" t="s">
        <v>43</v>
      </c>
      <c r="M324" s="5" t="s">
        <v>37</v>
      </c>
      <c r="N324" s="5" t="s">
        <v>48</v>
      </c>
      <c r="O324" s="5" t="s">
        <v>48</v>
      </c>
      <c r="S324" s="6"/>
      <c r="T324" s="3">
        <v>46005.20140090278</v>
      </c>
      <c r="U324" s="6"/>
      <c r="V324" s="3">
        <v>46006.04253898148</v>
      </c>
      <c r="W324" s="3">
        <v>46006.020059525465</v>
      </c>
      <c r="X324" s="6"/>
    </row>
    <row r="325">
      <c r="A325" s="1" t="str">
        <f>IFERROR(__xludf.DUMMYFUNCTION("""COMPUTED_VALUE"""),"2404-243")</f>
        <v>2404-243</v>
      </c>
      <c r="B325" s="1" t="str">
        <f>IFERROR(__xludf.DUMMYFUNCTION("""COMPUTED_VALUE"""),"Rodriguez - El Cajon - ADU Struc")</f>
        <v>Rodriguez - El Cajon - ADU Struc</v>
      </c>
      <c r="C325" s="1" t="str">
        <f>IFERROR(__xludf.DUMMYFUNCTION("""COMPUTED_VALUE"""),"Approved - Construction Phase")</f>
        <v>Approved - Construction Phase</v>
      </c>
      <c r="D325" s="4">
        <f>IFERROR(__xludf.DUMMYFUNCTION("""COMPUTED_VALUE"""),783784.0)</f>
        <v>783784</v>
      </c>
      <c r="E325" s="5" t="s">
        <v>34</v>
      </c>
      <c r="J325" s="2" t="s">
        <v>39</v>
      </c>
      <c r="K325" s="2" t="s">
        <v>42</v>
      </c>
      <c r="L325" s="2" t="s">
        <v>42</v>
      </c>
      <c r="M325" s="5" t="s">
        <v>27</v>
      </c>
      <c r="N325" s="5" t="s">
        <v>27</v>
      </c>
      <c r="O325" s="5" t="s">
        <v>37</v>
      </c>
      <c r="S325" s="3">
        <v>46005.22156989583</v>
      </c>
      <c r="T325" s="6"/>
      <c r="U325" s="6"/>
      <c r="V325" s="6"/>
      <c r="W325" s="3">
        <v>46006.01171502315</v>
      </c>
      <c r="X325" s="6"/>
    </row>
    <row r="326">
      <c r="A326" s="1" t="str">
        <f>IFERROR(__xludf.DUMMYFUNCTION("""COMPUTED_VALUE"""),"2404-242")</f>
        <v>2404-242</v>
      </c>
      <c r="B326" s="1" t="str">
        <f>IFERROR(__xludf.DUMMYFUNCTION("""COMPUTED_VALUE"""),"Callen-Poway-Outdoor Kitchen")</f>
        <v>Callen-Poway-Outdoor Kitchen</v>
      </c>
      <c r="C326" s="1" t="str">
        <f>IFERROR(__xludf.DUMMYFUNCTION("""COMPUTED_VALUE"""),"Abandoned,Expired")</f>
        <v>Abandoned,Expired</v>
      </c>
      <c r="D326" s="4">
        <f>IFERROR(__xludf.DUMMYFUNCTION("""COMPUTED_VALUE"""),772020.0)</f>
        <v>772020</v>
      </c>
      <c r="E326" s="5" t="s">
        <v>34</v>
      </c>
      <c r="J326" s="2" t="s">
        <v>23</v>
      </c>
      <c r="K326" s="2" t="s">
        <v>43</v>
      </c>
      <c r="L326" s="2" t="s">
        <v>42</v>
      </c>
      <c r="M326" s="5" t="s">
        <v>44</v>
      </c>
      <c r="N326" s="5" t="s">
        <v>27</v>
      </c>
      <c r="O326" s="5" t="s">
        <v>27</v>
      </c>
      <c r="S326" s="6"/>
      <c r="T326" s="6"/>
      <c r="U326" s="6"/>
      <c r="V326" s="6"/>
      <c r="W326" s="6"/>
      <c r="X326" s="6"/>
    </row>
    <row r="327">
      <c r="A327" s="1" t="str">
        <f>IFERROR(__xludf.DUMMYFUNCTION("""COMPUTED_VALUE"""),"2404-241")</f>
        <v>2404-241</v>
      </c>
      <c r="B327" s="1" t="str">
        <f>IFERROR(__xludf.DUMMYFUNCTION("""COMPUTED_VALUE"""),"Bendett - Los Angeles - Vaulted Ceiling")</f>
        <v>Bendett - Los Angeles - Vaulted Ceiling</v>
      </c>
      <c r="C327" s="1" t="str">
        <f>IFERROR(__xludf.DUMMYFUNCTION("""COMPUTED_VALUE"""),"Completed - Sent to Client")</f>
        <v>Completed - Sent to Client</v>
      </c>
      <c r="D327" s="4">
        <f>IFERROR(__xludf.DUMMYFUNCTION("""COMPUTED_VALUE"""),783774.0)</f>
        <v>783774</v>
      </c>
      <c r="E327" s="5" t="s">
        <v>34</v>
      </c>
      <c r="F327" s="2"/>
      <c r="J327" s="2" t="s">
        <v>22</v>
      </c>
      <c r="K327" s="2" t="s">
        <v>32</v>
      </c>
      <c r="L327" s="2" t="s">
        <v>35</v>
      </c>
      <c r="M327" s="2" t="s">
        <v>24</v>
      </c>
      <c r="N327" s="5" t="s">
        <v>24</v>
      </c>
      <c r="O327" s="5" t="s">
        <v>48</v>
      </c>
      <c r="S327" s="3">
        <v>46006.384549386574</v>
      </c>
      <c r="T327" s="6"/>
      <c r="U327" s="6"/>
      <c r="V327" s="3">
        <v>46006.0116797338</v>
      </c>
      <c r="W327" s="3">
        <v>46005.3703747338</v>
      </c>
      <c r="X327" s="6"/>
    </row>
    <row r="328">
      <c r="A328" s="1" t="str">
        <f>IFERROR(__xludf.DUMMYFUNCTION("""COMPUTED_VALUE"""),"2404-240")</f>
        <v>2404-240</v>
      </c>
      <c r="B328" s="1" t="str">
        <f>IFERROR(__xludf.DUMMYFUNCTION("""COMPUTED_VALUE"""),"Yeung - San Diego - ADU Conversion")</f>
        <v>Yeung - San Diego - ADU Conversion</v>
      </c>
      <c r="C328" s="1" t="str">
        <f>IFERROR(__xludf.DUMMYFUNCTION("""COMPUTED_VALUE"""),"Approved - Construction Phase")</f>
        <v>Approved - Construction Phase</v>
      </c>
      <c r="D328" s="4">
        <f>IFERROR(__xludf.DUMMYFUNCTION("""COMPUTED_VALUE"""),769212.0)</f>
        <v>769212</v>
      </c>
      <c r="E328" s="5" t="s">
        <v>20</v>
      </c>
      <c r="J328" s="2" t="s">
        <v>39</v>
      </c>
      <c r="K328" s="2" t="s">
        <v>47</v>
      </c>
      <c r="L328" s="2" t="s">
        <v>49</v>
      </c>
      <c r="M328" s="5" t="s">
        <v>44</v>
      </c>
      <c r="N328" s="5" t="s">
        <v>27</v>
      </c>
      <c r="O328" s="5" t="s">
        <v>24</v>
      </c>
      <c r="S328" s="6"/>
      <c r="T328" s="6"/>
      <c r="U328" s="6"/>
      <c r="V328" s="6"/>
      <c r="W328" s="6"/>
      <c r="X328" s="6"/>
    </row>
    <row r="329">
      <c r="A329" s="1" t="str">
        <f>IFERROR(__xludf.DUMMYFUNCTION("""COMPUTED_VALUE"""),"2404-239")</f>
        <v>2404-239</v>
      </c>
      <c r="B329" s="1" t="str">
        <f>IFERROR(__xludf.DUMMYFUNCTION("""COMPUTED_VALUE"""),"Kaufman - Costa Mesa - Big Modern Remodel")</f>
        <v>Kaufman - Costa Mesa - Big Modern Remodel</v>
      </c>
      <c r="C329" s="1" t="str">
        <f>IFERROR(__xludf.DUMMYFUNCTION("""COMPUTED_VALUE"""),"A009 Resubmitted")</f>
        <v>A009 Resubmitted</v>
      </c>
      <c r="D329" s="4">
        <f>IFERROR(__xludf.DUMMYFUNCTION("""COMPUTED_VALUE"""),768744.0)</f>
        <v>768744</v>
      </c>
      <c r="E329" s="5" t="s">
        <v>34</v>
      </c>
      <c r="J329" s="2" t="s">
        <v>50</v>
      </c>
      <c r="K329" s="2" t="s">
        <v>35</v>
      </c>
      <c r="L329" s="2" t="s">
        <v>26</v>
      </c>
      <c r="M329" s="5" t="s">
        <v>27</v>
      </c>
      <c r="N329" s="5" t="s">
        <v>48</v>
      </c>
      <c r="O329" s="5" t="s">
        <v>44</v>
      </c>
      <c r="S329" s="6"/>
      <c r="T329" s="6"/>
      <c r="U329" s="6"/>
      <c r="V329" s="6"/>
      <c r="W329" s="3">
        <v>46006.042509872685</v>
      </c>
      <c r="X329" s="6"/>
    </row>
    <row r="330">
      <c r="A330" s="1" t="str">
        <f>IFERROR(__xludf.DUMMYFUNCTION("""COMPUTED_VALUE"""),"2404-238")</f>
        <v>2404-238</v>
      </c>
      <c r="B330" s="1" t="str">
        <f>IFERROR(__xludf.DUMMYFUNCTION("""COMPUTED_VALUE"""),"Mitchell - Idyllwild - Resort Mapping and As Builts")</f>
        <v>Mitchell - Idyllwild - Resort Mapping and As Builts</v>
      </c>
      <c r="C330" s="1" t="str">
        <f>IFERROR(__xludf.DUMMYFUNCTION("""COMPUTED_VALUE"""),"Approved - Construction Phase")</f>
        <v>Approved - Construction Phase</v>
      </c>
      <c r="D330" s="4">
        <f>IFERROR(__xludf.DUMMYFUNCTION("""COMPUTED_VALUE"""),768741.0)</f>
        <v>768741</v>
      </c>
      <c r="E330" s="5" t="s">
        <v>34</v>
      </c>
      <c r="J330" s="2" t="s">
        <v>33</v>
      </c>
      <c r="K330" s="2" t="s">
        <v>25</v>
      </c>
      <c r="L330" s="2" t="s">
        <v>39</v>
      </c>
      <c r="M330" s="5" t="s">
        <v>48</v>
      </c>
      <c r="N330" s="5" t="s">
        <v>24</v>
      </c>
      <c r="O330" s="5" t="s">
        <v>37</v>
      </c>
      <c r="S330" s="6"/>
      <c r="T330" s="6"/>
      <c r="U330" s="6"/>
      <c r="V330" s="6"/>
      <c r="W330" s="6"/>
      <c r="X330" s="6"/>
    </row>
    <row r="331">
      <c r="A331" s="1" t="str">
        <f>IFERROR(__xludf.DUMMYFUNCTION("""COMPUTED_VALUE"""),"2404-237")</f>
        <v>2404-237</v>
      </c>
      <c r="B331" s="1" t="str">
        <f>IFERROR(__xludf.DUMMYFUNCTION("""COMPUTED_VALUE"""),"Vantassle - Bakersfield - Kitchen Remodel")</f>
        <v>Vantassle - Bakersfield - Kitchen Remodel</v>
      </c>
      <c r="C331" s="1" t="str">
        <f>IFERROR(__xludf.DUMMYFUNCTION("""COMPUTED_VALUE"""),"Approved - Construction Phase")</f>
        <v>Approved - Construction Phase</v>
      </c>
      <c r="D331" s="4">
        <f>IFERROR(__xludf.DUMMYFUNCTION("""COMPUTED_VALUE"""),768738.0)</f>
        <v>768738</v>
      </c>
      <c r="E331" s="5" t="s">
        <v>20</v>
      </c>
      <c r="J331" s="2" t="s">
        <v>35</v>
      </c>
      <c r="K331" s="2" t="s">
        <v>50</v>
      </c>
      <c r="L331" s="2" t="s">
        <v>39</v>
      </c>
      <c r="M331" s="5" t="s">
        <v>24</v>
      </c>
      <c r="N331" s="5" t="s">
        <v>24</v>
      </c>
      <c r="O331" s="5" t="s">
        <v>37</v>
      </c>
      <c r="S331" s="6"/>
      <c r="T331" s="6"/>
      <c r="U331" s="6"/>
      <c r="V331" s="6"/>
      <c r="W331" s="6"/>
      <c r="X331" s="6"/>
    </row>
    <row r="332">
      <c r="A332" s="1" t="str">
        <f>IFERROR(__xludf.DUMMYFUNCTION("""COMPUTED_VALUE"""),"2404-236")</f>
        <v>2404-236</v>
      </c>
      <c r="B332" s="1" t="str">
        <f>IFERROR(__xludf.DUMMYFUNCTION("""COMPUTED_VALUE"""),"Anderson - Camarillo - Kitchen Remodel")</f>
        <v>Anderson - Camarillo - Kitchen Remodel</v>
      </c>
      <c r="C332" s="1" t="str">
        <f>IFERROR(__xludf.DUMMYFUNCTION("""COMPUTED_VALUE"""),"Approved - Construction Phase")</f>
        <v>Approved - Construction Phase</v>
      </c>
      <c r="D332" s="4">
        <f>IFERROR(__xludf.DUMMYFUNCTION("""COMPUTED_VALUE"""),768732.0)</f>
        <v>768732</v>
      </c>
      <c r="E332" s="5" t="s">
        <v>34</v>
      </c>
      <c r="J332" s="2" t="s">
        <v>36</v>
      </c>
      <c r="K332" s="2" t="s">
        <v>39</v>
      </c>
      <c r="L332" s="2" t="s">
        <v>51</v>
      </c>
      <c r="M332" s="5" t="s">
        <v>48</v>
      </c>
      <c r="N332" s="5" t="s">
        <v>48</v>
      </c>
      <c r="O332" s="5" t="s">
        <v>44</v>
      </c>
      <c r="S332" s="6"/>
      <c r="T332" s="6"/>
      <c r="U332" s="6"/>
      <c r="V332" s="6"/>
      <c r="W332" s="6"/>
      <c r="X332" s="6"/>
    </row>
    <row r="333">
      <c r="A333" s="1" t="str">
        <f>IFERROR(__xludf.DUMMYFUNCTION("""COMPUTED_VALUE"""),"2404-235")</f>
        <v>2404-235</v>
      </c>
      <c r="B333" s="1" t="str">
        <f>IFERROR(__xludf.DUMMYFUNCTION("""COMPUTED_VALUE"""),"Zilinskas - Malibu - Retaining Wall")</f>
        <v>Zilinskas - Malibu - Retaining Wall</v>
      </c>
      <c r="C333" s="1" t="str">
        <f>IFERROR(__xludf.DUMMYFUNCTION("""COMPUTED_VALUE"""),"Abandoned,Expired")</f>
        <v>Abandoned,Expired</v>
      </c>
      <c r="D333" s="4">
        <f>IFERROR(__xludf.DUMMYFUNCTION("""COMPUTED_VALUE"""),768729.0)</f>
        <v>768729</v>
      </c>
      <c r="E333" s="5" t="s">
        <v>34</v>
      </c>
      <c r="J333" s="2" t="s">
        <v>40</v>
      </c>
      <c r="K333" s="2" t="s">
        <v>51</v>
      </c>
      <c r="L333" s="2" t="s">
        <v>25</v>
      </c>
      <c r="M333" s="5" t="s">
        <v>48</v>
      </c>
      <c r="N333" s="5" t="s">
        <v>44</v>
      </c>
      <c r="O333" s="5" t="s">
        <v>48</v>
      </c>
      <c r="S333" s="6"/>
      <c r="T333" s="6"/>
      <c r="U333" s="6"/>
      <c r="V333" s="6"/>
      <c r="W333" s="3">
        <v>46006.06851179399</v>
      </c>
      <c r="X333" s="6"/>
    </row>
    <row r="334">
      <c r="A334" s="1" t="str">
        <f>IFERROR(__xludf.DUMMYFUNCTION("""COMPUTED_VALUE"""),"2404-234")</f>
        <v>2404-234</v>
      </c>
      <c r="B334" s="1" t="str">
        <f>IFERROR(__xludf.DUMMYFUNCTION("""COMPUTED_VALUE"""),"Rivas - National City - TI&amp;apos;s")</f>
        <v>Rivas - National City - TI&amp;apos;s</v>
      </c>
      <c r="C334" s="1" t="str">
        <f>IFERROR(__xludf.DUMMYFUNCTION("""COMPUTED_VALUE"""),"Abandoned,Expired")</f>
        <v>Abandoned,Expired</v>
      </c>
      <c r="D334" s="4">
        <f>IFERROR(__xludf.DUMMYFUNCTION("""COMPUTED_VALUE"""),768691.0)</f>
        <v>768691</v>
      </c>
      <c r="E334" s="5" t="s">
        <v>20</v>
      </c>
      <c r="J334" s="2" t="s">
        <v>43</v>
      </c>
      <c r="K334" s="2" t="s">
        <v>32</v>
      </c>
      <c r="L334" s="2" t="s">
        <v>51</v>
      </c>
      <c r="M334" s="5" t="s">
        <v>24</v>
      </c>
      <c r="N334" s="5" t="s">
        <v>44</v>
      </c>
      <c r="O334" s="5" t="s">
        <v>24</v>
      </c>
      <c r="S334" s="6"/>
      <c r="T334" s="6"/>
      <c r="U334" s="6"/>
      <c r="V334" s="6"/>
      <c r="W334" s="6"/>
      <c r="X334" s="6"/>
    </row>
    <row r="335">
      <c r="A335" s="1" t="str">
        <f>IFERROR(__xludf.DUMMYFUNCTION("""COMPUTED_VALUE"""),"2404-233")</f>
        <v>2404-233</v>
      </c>
      <c r="B335" s="1" t="str">
        <f>IFERROR(__xludf.DUMMYFUNCTION("""COMPUTED_VALUE"""),"Mukherjee - Temecula - Remodel Permit")</f>
        <v>Mukherjee - Temecula - Remodel Permit</v>
      </c>
      <c r="C335" s="1" t="str">
        <f>IFERROR(__xludf.DUMMYFUNCTION("""COMPUTED_VALUE"""),"Abandoned,Expired")</f>
        <v>Abandoned,Expired</v>
      </c>
      <c r="D335" s="4">
        <f>IFERROR(__xludf.DUMMYFUNCTION("""COMPUTED_VALUE"""),768718.0)</f>
        <v>768718</v>
      </c>
      <c r="E335" s="5" t="s">
        <v>20</v>
      </c>
      <c r="J335" s="2" t="s">
        <v>47</v>
      </c>
      <c r="K335" s="2" t="s">
        <v>39</v>
      </c>
      <c r="L335" s="2" t="s">
        <v>23</v>
      </c>
      <c r="M335" s="5" t="s">
        <v>37</v>
      </c>
      <c r="N335" s="5" t="s">
        <v>37</v>
      </c>
      <c r="O335" s="5" t="s">
        <v>24</v>
      </c>
      <c r="S335" s="6"/>
      <c r="T335" s="6"/>
      <c r="U335" s="6"/>
      <c r="V335" s="6"/>
      <c r="W335" s="3">
        <v>46006.018534710645</v>
      </c>
      <c r="X335" s="6"/>
    </row>
    <row r="336">
      <c r="A336" s="1" t="str">
        <f>IFERROR(__xludf.DUMMYFUNCTION("""COMPUTED_VALUE"""),"2404-232")</f>
        <v>2404-232</v>
      </c>
      <c r="B336" s="1" t="str">
        <f>IFERROR(__xludf.DUMMYFUNCTION("""COMPUTED_VALUE"""),"Asadov - San Diego - TI")</f>
        <v>Asadov - San Diego - TI</v>
      </c>
      <c r="C336" s="1" t="str">
        <f>IFERROR(__xludf.DUMMYFUNCTION("""COMPUTED_VALUE"""),"A008.8 Pending Resubmittal")</f>
        <v>A008.8 Pending Resubmittal</v>
      </c>
      <c r="D336" s="4">
        <f>IFERROR(__xludf.DUMMYFUNCTION("""COMPUTED_VALUE"""),768672.0)</f>
        <v>768672</v>
      </c>
      <c r="E336" s="5" t="s">
        <v>20</v>
      </c>
      <c r="J336" s="2" t="s">
        <v>23</v>
      </c>
      <c r="K336" s="2" t="s">
        <v>26</v>
      </c>
      <c r="L336" s="2" t="s">
        <v>32</v>
      </c>
      <c r="M336" s="5" t="s">
        <v>27</v>
      </c>
      <c r="N336" s="5" t="s">
        <v>24</v>
      </c>
      <c r="O336" s="5" t="s">
        <v>44</v>
      </c>
      <c r="S336" s="6"/>
      <c r="T336" s="6"/>
      <c r="U336" s="6"/>
      <c r="V336" s="6"/>
      <c r="W336" s="3">
        <v>46006.011611168986</v>
      </c>
      <c r="X336" s="6"/>
    </row>
    <row r="337">
      <c r="A337" s="1" t="str">
        <f>IFERROR(__xludf.DUMMYFUNCTION("""COMPUTED_VALUE"""),"2404-231")</f>
        <v>2404-231</v>
      </c>
      <c r="B337" s="1" t="str">
        <f>IFERROR(__xludf.DUMMYFUNCTION("""COMPUTED_VALUE"""),"Shulka - Carlsbad - 2 Home Designs")</f>
        <v>Shulka - Carlsbad - 2 Home Designs</v>
      </c>
      <c r="C337" s="1" t="str">
        <f>IFERROR(__xludf.DUMMYFUNCTION("""COMPUTED_VALUE"""),"Completed - Sent to Client")</f>
        <v>Completed - Sent to Client</v>
      </c>
      <c r="D337" s="4">
        <f>IFERROR(__xludf.DUMMYFUNCTION("""COMPUTED_VALUE"""),768427.0)</f>
        <v>768427</v>
      </c>
      <c r="E337" s="5" t="s">
        <v>34</v>
      </c>
      <c r="J337" s="2" t="s">
        <v>49</v>
      </c>
      <c r="K337" s="2" t="s">
        <v>39</v>
      </c>
      <c r="L337" s="2" t="s">
        <v>32</v>
      </c>
      <c r="M337" s="5" t="s">
        <v>44</v>
      </c>
      <c r="N337" s="5" t="s">
        <v>37</v>
      </c>
      <c r="O337" s="5" t="s">
        <v>44</v>
      </c>
      <c r="S337" s="6"/>
      <c r="T337" s="6"/>
      <c r="U337" s="6"/>
      <c r="V337" s="6"/>
      <c r="W337" s="6"/>
      <c r="X337" s="6"/>
    </row>
    <row r="338">
      <c r="A338" s="1" t="str">
        <f>IFERROR(__xludf.DUMMYFUNCTION("""COMPUTED_VALUE"""),"2403-229")</f>
        <v>2403-229</v>
      </c>
      <c r="B338" s="1" t="str">
        <f>IFERROR(__xludf.DUMMYFUNCTION("""COMPUTED_VALUE"""),"Ospina Remodel")</f>
        <v>Ospina Remodel</v>
      </c>
      <c r="C338" s="1" t="str">
        <f>IFERROR(__xludf.DUMMYFUNCTION("""COMPUTED_VALUE"""),"Approved - Construction Phase")</f>
        <v>Approved - Construction Phase</v>
      </c>
      <c r="D338" s="4">
        <f>IFERROR(__xludf.DUMMYFUNCTION("""COMPUTED_VALUE"""),751770.0)</f>
        <v>751770</v>
      </c>
      <c r="E338" s="5" t="s">
        <v>20</v>
      </c>
      <c r="J338" s="2" t="s">
        <v>23</v>
      </c>
      <c r="K338" s="2" t="s">
        <v>32</v>
      </c>
      <c r="L338" s="2" t="s">
        <v>39</v>
      </c>
      <c r="M338" s="5" t="s">
        <v>24</v>
      </c>
      <c r="N338" s="5" t="s">
        <v>48</v>
      </c>
      <c r="O338" s="5" t="s">
        <v>44</v>
      </c>
      <c r="S338" s="6"/>
      <c r="T338" s="6"/>
      <c r="U338" s="6"/>
      <c r="V338" s="6"/>
      <c r="W338" s="6"/>
      <c r="X338" s="6"/>
    </row>
    <row r="339">
      <c r="A339" s="1" t="str">
        <f>IFERROR(__xludf.DUMMYFUNCTION("""COMPUTED_VALUE"""),"2403-228")</f>
        <v>2403-228</v>
      </c>
      <c r="B339" s="1" t="str">
        <f>IFERROR(__xludf.DUMMYFUNCTION("""COMPUTED_VALUE"""),"Lewis Pop-up House")</f>
        <v>Lewis Pop-up House</v>
      </c>
      <c r="C339" s="1" t="str">
        <f>IFERROR(__xludf.DUMMYFUNCTION("""COMPUTED_VALUE"""),"Abandoned,Expired")</f>
        <v>Abandoned,Expired</v>
      </c>
      <c r="D339" s="4">
        <f>IFERROR(__xludf.DUMMYFUNCTION("""COMPUTED_VALUE"""),745275.0)</f>
        <v>745275</v>
      </c>
      <c r="E339" s="5" t="s">
        <v>34</v>
      </c>
      <c r="J339" s="2" t="s">
        <v>49</v>
      </c>
      <c r="K339" s="2" t="s">
        <v>32</v>
      </c>
      <c r="L339" s="2" t="s">
        <v>36</v>
      </c>
      <c r="M339" s="5" t="s">
        <v>44</v>
      </c>
      <c r="N339" s="5" t="s">
        <v>27</v>
      </c>
      <c r="O339" s="5" t="s">
        <v>48</v>
      </c>
      <c r="S339" s="3">
        <v>46005.21747831018</v>
      </c>
      <c r="T339" s="6"/>
      <c r="U339" s="6"/>
      <c r="V339" s="3"/>
      <c r="W339" s="3">
        <v>46005.99801707176</v>
      </c>
      <c r="X339" s="6"/>
    </row>
    <row r="340">
      <c r="A340" s="1" t="str">
        <f>IFERROR(__xludf.DUMMYFUNCTION("""COMPUTED_VALUE"""),"2403-227")</f>
        <v>2403-227</v>
      </c>
      <c r="B340" s="1" t="str">
        <f>IFERROR(__xludf.DUMMYFUNCTION("""COMPUTED_VALUE"""),"Mazur Residences")</f>
        <v>Mazur Residences</v>
      </c>
      <c r="C340" s="1" t="str">
        <f>IFERROR(__xludf.DUMMYFUNCTION("""COMPUTED_VALUE"""),"A008.6 Arch Packaging Re-Submittal")</f>
        <v>A008.6 Arch Packaging Re-Submittal</v>
      </c>
      <c r="D340" s="4">
        <f>IFERROR(__xludf.DUMMYFUNCTION("""COMPUTED_VALUE"""),745277.0)</f>
        <v>745277</v>
      </c>
      <c r="E340" s="5" t="s">
        <v>20</v>
      </c>
      <c r="J340" s="2" t="s">
        <v>26</v>
      </c>
      <c r="K340" s="2" t="s">
        <v>25</v>
      </c>
      <c r="L340" s="2" t="s">
        <v>36</v>
      </c>
      <c r="M340" s="5" t="s">
        <v>37</v>
      </c>
      <c r="N340" s="5" t="s">
        <v>48</v>
      </c>
      <c r="O340" s="5" t="s">
        <v>44</v>
      </c>
      <c r="S340" s="6"/>
      <c r="T340" s="6"/>
      <c r="U340" s="6"/>
      <c r="V340" s="6"/>
      <c r="W340" s="6"/>
      <c r="X340" s="6"/>
    </row>
    <row r="341">
      <c r="A341" s="1" t="str">
        <f>IFERROR(__xludf.DUMMYFUNCTION("""COMPUTED_VALUE"""),"2403-225")</f>
        <v>2403-225</v>
      </c>
      <c r="B341" s="1" t="str">
        <f>IFERROR(__xludf.DUMMYFUNCTION("""COMPUTED_VALUE"""),"Gallion - Corona - Remodel")</f>
        <v>Gallion - Corona - Remodel</v>
      </c>
      <c r="C341" s="1" t="str">
        <f>IFERROR(__xludf.DUMMYFUNCTION("""COMPUTED_VALUE"""),"Approved - Construction Phase")</f>
        <v>Approved - Construction Phase</v>
      </c>
      <c r="D341" s="4">
        <f>IFERROR(__xludf.DUMMYFUNCTION("""COMPUTED_VALUE"""),760651.0)</f>
        <v>760651</v>
      </c>
      <c r="E341" s="5" t="s">
        <v>34</v>
      </c>
      <c r="F341" s="2"/>
      <c r="J341" s="2" t="s">
        <v>43</v>
      </c>
      <c r="K341" s="2" t="s">
        <v>33</v>
      </c>
      <c r="L341" s="2" t="s">
        <v>33</v>
      </c>
      <c r="M341" s="5" t="s">
        <v>44</v>
      </c>
      <c r="N341" s="5" t="s">
        <v>44</v>
      </c>
      <c r="O341" s="5" t="s">
        <v>37</v>
      </c>
      <c r="S341" s="6"/>
      <c r="T341" s="6"/>
      <c r="U341" s="6"/>
      <c r="V341" s="3">
        <v>46005.54089608796</v>
      </c>
      <c r="W341" s="3">
        <v>46005.386483298615</v>
      </c>
      <c r="X341" s="6"/>
    </row>
    <row r="342">
      <c r="A342" s="1" t="str">
        <f>IFERROR(__xludf.DUMMYFUNCTION("""COMPUTED_VALUE"""),"2403-224")</f>
        <v>2403-224</v>
      </c>
      <c r="B342" s="1" t="str">
        <f>IFERROR(__xludf.DUMMYFUNCTION("""COMPUTED_VALUE"""),"Melgoza Residence")</f>
        <v>Melgoza Residence</v>
      </c>
      <c r="C342" s="1" t="str">
        <f>IFERROR(__xludf.DUMMYFUNCTION("""COMPUTED_VALUE"""),"Abandoned,Expired")</f>
        <v>Abandoned,Expired</v>
      </c>
      <c r="D342" s="4">
        <f>IFERROR(__xludf.DUMMYFUNCTION("""COMPUTED_VALUE"""),746375.0)</f>
        <v>746375</v>
      </c>
      <c r="E342" s="5" t="s">
        <v>34</v>
      </c>
      <c r="J342" s="2" t="s">
        <v>32</v>
      </c>
      <c r="K342" s="2" t="s">
        <v>42</v>
      </c>
      <c r="L342" s="2" t="s">
        <v>39</v>
      </c>
      <c r="M342" s="5" t="s">
        <v>48</v>
      </c>
      <c r="N342" s="5" t="s">
        <v>44</v>
      </c>
      <c r="O342" s="5" t="s">
        <v>44</v>
      </c>
      <c r="S342" s="6"/>
      <c r="T342" s="6"/>
      <c r="U342" s="6"/>
      <c r="V342" s="6"/>
      <c r="W342" s="6"/>
      <c r="X342" s="6"/>
    </row>
    <row r="343">
      <c r="A343" s="1" t="str">
        <f>IFERROR(__xludf.DUMMYFUNCTION("""COMPUTED_VALUE"""),"2403-223")</f>
        <v>2403-223</v>
      </c>
      <c r="B343" s="1" t="str">
        <f>IFERROR(__xludf.DUMMYFUNCTION("""COMPUTED_VALUE"""),"Jones - Redlands - ADU")</f>
        <v>Jones - Redlands - ADU</v>
      </c>
      <c r="C343" s="1" t="str">
        <f>IFERROR(__xludf.DUMMYFUNCTION("""COMPUTED_VALUE"""),"Completed - Sent to Client")</f>
        <v>Completed - Sent to Client</v>
      </c>
      <c r="D343" s="4">
        <f>IFERROR(__xludf.DUMMYFUNCTION("""COMPUTED_VALUE"""),754501.0)</f>
        <v>754501</v>
      </c>
      <c r="E343" s="5" t="s">
        <v>34</v>
      </c>
      <c r="J343" s="2" t="s">
        <v>43</v>
      </c>
      <c r="K343" s="2" t="s">
        <v>22</v>
      </c>
      <c r="L343" s="2" t="s">
        <v>43</v>
      </c>
      <c r="M343" s="5" t="s">
        <v>44</v>
      </c>
      <c r="N343" s="2" t="s">
        <v>24</v>
      </c>
      <c r="O343" s="5" t="s">
        <v>48</v>
      </c>
      <c r="S343" s="6"/>
      <c r="T343" s="3">
        <v>46007.01227607639</v>
      </c>
      <c r="U343" s="6"/>
      <c r="V343" s="6"/>
      <c r="W343" s="6"/>
      <c r="X343" s="6"/>
    </row>
    <row r="344">
      <c r="A344" s="1" t="str">
        <f>IFERROR(__xludf.DUMMYFUNCTION("""COMPUTED_VALUE"""),"2403-222")</f>
        <v>2403-222</v>
      </c>
      <c r="B344" s="1" t="str">
        <f>IFERROR(__xludf.DUMMYFUNCTION("""COMPUTED_VALUE"""),"Morning Pet Grooming")</f>
        <v>Morning Pet Grooming</v>
      </c>
      <c r="C344" s="1" t="str">
        <f>IFERROR(__xludf.DUMMYFUNCTION("""COMPUTED_VALUE"""),"Approved - Construction Phase")</f>
        <v>Approved - Construction Phase</v>
      </c>
      <c r="D344" s="4">
        <f>IFERROR(__xludf.DUMMYFUNCTION("""COMPUTED_VALUE"""),736604.0)</f>
        <v>736604</v>
      </c>
      <c r="E344" s="5" t="s">
        <v>34</v>
      </c>
      <c r="J344" s="2" t="s">
        <v>51</v>
      </c>
      <c r="K344" s="2" t="s">
        <v>50</v>
      </c>
      <c r="L344" s="2" t="s">
        <v>50</v>
      </c>
      <c r="M344" s="5" t="s">
        <v>48</v>
      </c>
      <c r="N344" s="5" t="s">
        <v>24</v>
      </c>
      <c r="O344" s="5" t="s">
        <v>37</v>
      </c>
      <c r="S344" s="6"/>
      <c r="T344" s="6"/>
      <c r="U344" s="6"/>
      <c r="V344" s="6"/>
      <c r="W344" s="6"/>
      <c r="X344" s="6"/>
    </row>
    <row r="345">
      <c r="A345" s="1" t="str">
        <f>IFERROR(__xludf.DUMMYFUNCTION("""COMPUTED_VALUE"""),"2403-220")</f>
        <v>2403-220</v>
      </c>
      <c r="B345" s="1" t="str">
        <f>IFERROR(__xludf.DUMMYFUNCTION("""COMPUTED_VALUE"""),"Mondelez - Ontario - Fence Plans")</f>
        <v>Mondelez - Ontario - Fence Plans</v>
      </c>
      <c r="C345" s="1" t="str">
        <f>IFERROR(__xludf.DUMMYFUNCTION("""COMPUTED_VALUE"""),"Approved - Construction Phase")</f>
        <v>Approved - Construction Phase</v>
      </c>
      <c r="D345" s="4">
        <f>IFERROR(__xludf.DUMMYFUNCTION("""COMPUTED_VALUE"""),760670.0)</f>
        <v>760670</v>
      </c>
      <c r="E345" s="5" t="s">
        <v>34</v>
      </c>
      <c r="F345" s="2"/>
      <c r="J345" s="2" t="s">
        <v>33</v>
      </c>
      <c r="K345" s="2" t="s">
        <v>25</v>
      </c>
      <c r="L345" s="2" t="s">
        <v>23</v>
      </c>
      <c r="M345" s="5" t="s">
        <v>27</v>
      </c>
      <c r="N345" s="5" t="s">
        <v>48</v>
      </c>
      <c r="O345" s="5" t="s">
        <v>27</v>
      </c>
      <c r="S345" s="3">
        <v>46005.52812855324</v>
      </c>
      <c r="T345" s="6"/>
      <c r="U345" s="6"/>
      <c r="V345" s="3">
        <v>46005.517982199075</v>
      </c>
      <c r="W345" s="3">
        <v>46005.34504997685</v>
      </c>
      <c r="X345" s="6"/>
    </row>
    <row r="346">
      <c r="A346" s="1" t="str">
        <f>IFERROR(__xludf.DUMMYFUNCTION("""COMPUTED_VALUE"""),"2403-219.")</f>
        <v>2403-219.</v>
      </c>
      <c r="B346" s="1" t="str">
        <f>IFERROR(__xludf.DUMMYFUNCTION("""COMPUTED_VALUE"""),"Dupont Retaining Wall")</f>
        <v>Dupont Retaining Wall</v>
      </c>
      <c r="C346" s="1" t="str">
        <f>IFERROR(__xludf.DUMMYFUNCTION("""COMPUTED_VALUE"""),"Approved - Construction Phase")</f>
        <v>Approved - Construction Phase</v>
      </c>
      <c r="D346" s="4">
        <f>IFERROR(__xludf.DUMMYFUNCTION("""COMPUTED_VALUE"""),746464.0)</f>
        <v>746464</v>
      </c>
      <c r="E346" s="5" t="s">
        <v>34</v>
      </c>
      <c r="J346" s="2" t="s">
        <v>22</v>
      </c>
      <c r="K346" s="2" t="s">
        <v>39</v>
      </c>
      <c r="L346" s="2" t="s">
        <v>36</v>
      </c>
      <c r="M346" s="2" t="s">
        <v>44</v>
      </c>
      <c r="N346" s="5" t="s">
        <v>44</v>
      </c>
      <c r="O346" s="5" t="s">
        <v>27</v>
      </c>
      <c r="S346" s="3">
        <v>46006.5771053125</v>
      </c>
      <c r="T346" s="6"/>
      <c r="U346" s="6"/>
      <c r="V346" s="6"/>
      <c r="W346" s="6"/>
      <c r="X346" s="6"/>
    </row>
    <row r="347">
      <c r="A347" s="1" t="str">
        <f>IFERROR(__xludf.DUMMYFUNCTION("""COMPUTED_VALUE"""),"2403-218")</f>
        <v>2403-218</v>
      </c>
      <c r="B347" s="1" t="str">
        <f>IFERROR(__xludf.DUMMYFUNCTION("""COMPUTED_VALUE"""),"Laurie Residence Structural")</f>
        <v>Laurie Residence Structural</v>
      </c>
      <c r="C347" s="1" t="str">
        <f>IFERROR(__xludf.DUMMYFUNCTION("""COMPUTED_VALUE"""),"Approved - Construction Phase")</f>
        <v>Approved - Construction Phase</v>
      </c>
      <c r="D347" s="4">
        <f>IFERROR(__xludf.DUMMYFUNCTION("""COMPUTED_VALUE"""),736609.0)</f>
        <v>736609</v>
      </c>
      <c r="E347" s="5" t="s">
        <v>20</v>
      </c>
      <c r="F347" s="2"/>
      <c r="J347" s="2" t="s">
        <v>47</v>
      </c>
      <c r="K347" s="2" t="s">
        <v>43</v>
      </c>
      <c r="L347" s="2" t="s">
        <v>51</v>
      </c>
      <c r="M347" s="5" t="s">
        <v>24</v>
      </c>
      <c r="N347" s="5" t="s">
        <v>24</v>
      </c>
      <c r="O347" s="5" t="s">
        <v>44</v>
      </c>
      <c r="S347" s="6"/>
      <c r="T347" s="3">
        <v>46005.497673425925</v>
      </c>
      <c r="U347" s="6"/>
      <c r="V347" s="3">
        <v>46004.99744702547</v>
      </c>
      <c r="W347" s="3">
        <v>46004.99739509259</v>
      </c>
      <c r="X347" s="6"/>
    </row>
    <row r="348">
      <c r="A348" s="1" t="str">
        <f>IFERROR(__xludf.DUMMYFUNCTION("""COMPUTED_VALUE"""),"2403-217")</f>
        <v>2403-217</v>
      </c>
      <c r="B348" s="1" t="str">
        <f>IFERROR(__xludf.DUMMYFUNCTION("""COMPUTED_VALUE"""),"Roman Gazebo and Patio Cover")</f>
        <v>Roman Gazebo and Patio Cover</v>
      </c>
      <c r="C348" s="1" t="str">
        <f>IFERROR(__xludf.DUMMYFUNCTION("""COMPUTED_VALUE"""),"Approved - Construction Phase")</f>
        <v>Approved - Construction Phase</v>
      </c>
      <c r="D348" s="4">
        <f>IFERROR(__xludf.DUMMYFUNCTION("""COMPUTED_VALUE"""),736596.0)</f>
        <v>736596</v>
      </c>
      <c r="E348" s="5" t="s">
        <v>34</v>
      </c>
      <c r="F348" s="2"/>
      <c r="J348" s="2" t="s">
        <v>47</v>
      </c>
      <c r="K348" s="2" t="s">
        <v>51</v>
      </c>
      <c r="L348" s="2" t="s">
        <v>36</v>
      </c>
      <c r="M348" s="5" t="s">
        <v>27</v>
      </c>
      <c r="N348" s="5" t="s">
        <v>44</v>
      </c>
      <c r="O348" s="5" t="s">
        <v>44</v>
      </c>
      <c r="S348" s="3">
        <v>46005.52860679398</v>
      </c>
      <c r="T348" s="6"/>
      <c r="U348" s="6"/>
      <c r="V348" s="3">
        <v>46005.517941342594</v>
      </c>
      <c r="W348" s="3">
        <v>46005.39966458333</v>
      </c>
      <c r="X348" s="6"/>
    </row>
    <row r="349">
      <c r="A349" s="1" t="str">
        <f>IFERROR(__xludf.DUMMYFUNCTION("""COMPUTED_VALUE"""),"2403-215")</f>
        <v>2403-215</v>
      </c>
      <c r="B349" s="1" t="str">
        <f>IFERROR(__xludf.DUMMYFUNCTION("""COMPUTED_VALUE"""),"Betyar Trellis")</f>
        <v>Betyar Trellis</v>
      </c>
      <c r="C349" s="1" t="str">
        <f>IFERROR(__xludf.DUMMYFUNCTION("""COMPUTED_VALUE"""),"Approved - Construction Phase")</f>
        <v>Approved - Construction Phase</v>
      </c>
      <c r="D349" s="4">
        <f>IFERROR(__xludf.DUMMYFUNCTION("""COMPUTED_VALUE"""),733961.0)</f>
        <v>733961</v>
      </c>
      <c r="E349" s="5" t="s">
        <v>34</v>
      </c>
      <c r="F349" s="2"/>
      <c r="J349" s="2" t="s">
        <v>25</v>
      </c>
      <c r="K349" s="2" t="s">
        <v>22</v>
      </c>
      <c r="L349" s="2" t="s">
        <v>35</v>
      </c>
      <c r="M349" s="5" t="s">
        <v>48</v>
      </c>
      <c r="N349" s="2" t="s">
        <v>24</v>
      </c>
      <c r="O349" s="5" t="s">
        <v>44</v>
      </c>
      <c r="S349" s="3">
        <v>46006.01989658565</v>
      </c>
      <c r="T349" s="3">
        <v>46006.381148043976</v>
      </c>
      <c r="U349" s="6"/>
      <c r="V349" s="3">
        <v>46006.00106152778</v>
      </c>
      <c r="W349" s="3">
        <v>46005.40037041667</v>
      </c>
      <c r="X349" s="6"/>
    </row>
    <row r="350">
      <c r="A350" s="1" t="str">
        <f>IFERROR(__xludf.DUMMYFUNCTION("""COMPUTED_VALUE"""),"2403-214")</f>
        <v>2403-214</v>
      </c>
      <c r="B350" s="1" t="str">
        <f>IFERROR(__xludf.DUMMYFUNCTION("""COMPUTED_VALUE"""),"Green Covered Patio")</f>
        <v>Green Covered Patio</v>
      </c>
      <c r="C350" s="1" t="str">
        <f>IFERROR(__xludf.DUMMYFUNCTION("""COMPUTED_VALUE"""),"Approved - Construction Phase")</f>
        <v>Approved - Construction Phase</v>
      </c>
      <c r="D350" s="4">
        <f>IFERROR(__xludf.DUMMYFUNCTION("""COMPUTED_VALUE"""),736566.0)</f>
        <v>736566</v>
      </c>
      <c r="E350" s="5" t="s">
        <v>20</v>
      </c>
      <c r="J350" s="2" t="s">
        <v>49</v>
      </c>
      <c r="K350" s="2" t="s">
        <v>35</v>
      </c>
      <c r="L350" s="2" t="s">
        <v>40</v>
      </c>
      <c r="M350" s="5" t="s">
        <v>27</v>
      </c>
      <c r="N350" s="5" t="s">
        <v>44</v>
      </c>
      <c r="O350" s="5" t="s">
        <v>27</v>
      </c>
      <c r="S350" s="6"/>
      <c r="T350" s="6"/>
      <c r="U350" s="6"/>
      <c r="V350" s="6"/>
      <c r="W350" s="6"/>
      <c r="X350" s="6"/>
    </row>
    <row r="351">
      <c r="A351" s="1" t="str">
        <f>IFERROR(__xludf.DUMMYFUNCTION("""COMPUTED_VALUE"""),"2403-029")</f>
        <v>2403-029</v>
      </c>
      <c r="B351" s="1" t="str">
        <f>IFERROR(__xludf.DUMMYFUNCTION("""COMPUTED_VALUE"""),"Liu Addition")</f>
        <v>Liu Addition</v>
      </c>
      <c r="C351" s="1" t="str">
        <f>IFERROR(__xludf.DUMMYFUNCTION("""COMPUTED_VALUE"""),"Approved - Construction Phase")</f>
        <v>Approved - Construction Phase</v>
      </c>
      <c r="D351" s="4">
        <f>IFERROR(__xludf.DUMMYFUNCTION("""COMPUTED_VALUE"""),755753.0)</f>
        <v>755753</v>
      </c>
      <c r="E351" s="5" t="s">
        <v>20</v>
      </c>
      <c r="F351" s="2"/>
      <c r="J351" s="2" t="s">
        <v>43</v>
      </c>
      <c r="K351" s="2" t="s">
        <v>33</v>
      </c>
      <c r="L351" s="2" t="s">
        <v>32</v>
      </c>
      <c r="M351" s="5" t="s">
        <v>37</v>
      </c>
      <c r="N351" s="5" t="s">
        <v>44</v>
      </c>
      <c r="O351" s="5" t="s">
        <v>44</v>
      </c>
      <c r="S351" s="6"/>
      <c r="T351" s="3">
        <v>46005.50810162037</v>
      </c>
      <c r="U351" s="6"/>
      <c r="V351" s="3">
        <v>46005.44787512731</v>
      </c>
      <c r="W351" s="3">
        <v>46005.44794090278</v>
      </c>
      <c r="X351" s="6"/>
    </row>
    <row r="352">
      <c r="A352" s="1" t="str">
        <f>IFERROR(__xludf.DUMMYFUNCTION("""COMPUTED_VALUE"""),"2402-216")</f>
        <v>2402-216</v>
      </c>
      <c r="B352" s="1" t="str">
        <f>IFERROR(__xludf.DUMMYFUNCTION("""COMPUTED_VALUE"""),"Rivera Addition and ADU")</f>
        <v>Rivera Addition and ADU</v>
      </c>
      <c r="C352" s="1" t="str">
        <f>IFERROR(__xludf.DUMMYFUNCTION("""COMPUTED_VALUE"""),"Approved - Construction Phase")</f>
        <v>Approved - Construction Phase</v>
      </c>
      <c r="D352" s="4">
        <f>IFERROR(__xludf.DUMMYFUNCTION("""COMPUTED_VALUE"""),736582.0)</f>
        <v>736582</v>
      </c>
      <c r="E352" s="5" t="s">
        <v>20</v>
      </c>
      <c r="J352" s="2" t="s">
        <v>42</v>
      </c>
      <c r="K352" s="2" t="s">
        <v>25</v>
      </c>
      <c r="L352" s="2" t="s">
        <v>49</v>
      </c>
      <c r="M352" s="5" t="s">
        <v>24</v>
      </c>
      <c r="N352" s="5" t="s">
        <v>48</v>
      </c>
      <c r="O352" s="5" t="s">
        <v>24</v>
      </c>
      <c r="S352" s="6"/>
      <c r="T352" s="6"/>
      <c r="U352" s="6"/>
      <c r="V352" s="6"/>
      <c r="W352" s="6"/>
      <c r="X352" s="6"/>
    </row>
    <row r="353">
      <c r="A353" s="1" t="str">
        <f>IFERROR(__xludf.DUMMYFUNCTION("""COMPUTED_VALUE"""),"2402-213")</f>
        <v>2402-213</v>
      </c>
      <c r="B353" s="1" t="str">
        <f>IFERROR(__xludf.DUMMYFUNCTION("""COMPUTED_VALUE"""),"Carenza Feasibility Study")</f>
        <v>Carenza Feasibility Study</v>
      </c>
      <c r="C353" s="1" t="str">
        <f>IFERROR(__xludf.DUMMYFUNCTION("""COMPUTED_VALUE"""),"Do Not Click - Final Submit for Approval")</f>
        <v>Do Not Click - Final Submit for Approval</v>
      </c>
      <c r="D353" s="4">
        <f>IFERROR(__xludf.DUMMYFUNCTION("""COMPUTED_VALUE"""),727840.0)</f>
        <v>727840</v>
      </c>
      <c r="E353" s="5" t="s">
        <v>20</v>
      </c>
      <c r="J353" s="2" t="s">
        <v>35</v>
      </c>
      <c r="K353" s="2" t="s">
        <v>51</v>
      </c>
      <c r="L353" s="2" t="s">
        <v>51</v>
      </c>
      <c r="M353" s="5" t="s">
        <v>37</v>
      </c>
      <c r="N353" s="5" t="s">
        <v>37</v>
      </c>
      <c r="O353" s="5" t="s">
        <v>44</v>
      </c>
      <c r="S353" s="3">
        <v>46005.22506603009</v>
      </c>
      <c r="T353" s="6"/>
      <c r="U353" s="6"/>
      <c r="V353" s="6"/>
      <c r="W353" s="3"/>
      <c r="X353" s="6"/>
    </row>
    <row r="354">
      <c r="A354" s="1" t="str">
        <f>IFERROR(__xludf.DUMMYFUNCTION("""COMPUTED_VALUE"""),"2402-212")</f>
        <v>2402-212</v>
      </c>
      <c r="B354" s="1" t="str">
        <f>IFERROR(__xludf.DUMMYFUNCTION("""COMPUTED_VALUE"""),"Lutman Outdoor Kitchen")</f>
        <v>Lutman Outdoor Kitchen</v>
      </c>
      <c r="C354" s="1" t="str">
        <f>IFERROR(__xludf.DUMMYFUNCTION("""COMPUTED_VALUE"""),"Approved - Construction Phase")</f>
        <v>Approved - Construction Phase</v>
      </c>
      <c r="D354" s="4">
        <f>IFERROR(__xludf.DUMMYFUNCTION("""COMPUTED_VALUE"""),735695.0)</f>
        <v>735695</v>
      </c>
      <c r="E354" s="5" t="s">
        <v>20</v>
      </c>
      <c r="J354" s="2" t="s">
        <v>39</v>
      </c>
      <c r="K354" s="2" t="s">
        <v>51</v>
      </c>
      <c r="L354" s="2" t="s">
        <v>22</v>
      </c>
      <c r="M354" s="5" t="s">
        <v>27</v>
      </c>
      <c r="N354" s="5" t="s">
        <v>37</v>
      </c>
      <c r="O354" s="2" t="s">
        <v>27</v>
      </c>
      <c r="S354" s="6"/>
      <c r="T354" s="6"/>
      <c r="U354" s="3">
        <v>46006.577051747685</v>
      </c>
      <c r="V354" s="6"/>
      <c r="W354" s="6"/>
      <c r="X354" s="6"/>
    </row>
    <row r="355">
      <c r="A355" s="1" t="str">
        <f>IFERROR(__xludf.DUMMYFUNCTION("""COMPUTED_VALUE"""),"2402-211")</f>
        <v>2402-211</v>
      </c>
      <c r="B355" s="1" t="str">
        <f>IFERROR(__xludf.DUMMYFUNCTION("""COMPUTED_VALUE"""),"Kinninger Addition")</f>
        <v>Kinninger Addition</v>
      </c>
      <c r="C355" s="1" t="str">
        <f>IFERROR(__xludf.DUMMYFUNCTION("""COMPUTED_VALUE"""),"Approved - Construction Phase")</f>
        <v>Approved - Construction Phase</v>
      </c>
      <c r="D355" s="4">
        <f>IFERROR(__xludf.DUMMYFUNCTION("""COMPUTED_VALUE"""),726795.0)</f>
        <v>726795</v>
      </c>
      <c r="E355" s="5" t="s">
        <v>34</v>
      </c>
      <c r="J355" s="2" t="s">
        <v>42</v>
      </c>
      <c r="K355" s="2" t="s">
        <v>42</v>
      </c>
      <c r="L355" s="2" t="s">
        <v>36</v>
      </c>
      <c r="M355" s="5" t="s">
        <v>44</v>
      </c>
      <c r="N355" s="5" t="s">
        <v>48</v>
      </c>
      <c r="O355" s="5" t="s">
        <v>37</v>
      </c>
      <c r="S355" s="6"/>
      <c r="T355" s="6"/>
      <c r="U355" s="6"/>
      <c r="V355" s="6"/>
      <c r="W355" s="6"/>
      <c r="X355" s="6"/>
    </row>
    <row r="356">
      <c r="A356" s="1" t="str">
        <f>IFERROR(__xludf.DUMMYFUNCTION("""COMPUTED_VALUE"""),"2402-210")</f>
        <v>2402-210</v>
      </c>
      <c r="B356" s="1" t="str">
        <f>IFERROR(__xludf.DUMMYFUNCTION("""COMPUTED_VALUE"""),"Fishman Historic Steps")</f>
        <v>Fishman Historic Steps</v>
      </c>
      <c r="C356" s="1" t="str">
        <f>IFERROR(__xludf.DUMMYFUNCTION("""COMPUTED_VALUE"""),"Completed - Sent to Client")</f>
        <v>Completed - Sent to Client</v>
      </c>
      <c r="D356" s="4">
        <f>IFERROR(__xludf.DUMMYFUNCTION("""COMPUTED_VALUE"""),733903.0)</f>
        <v>733903</v>
      </c>
      <c r="E356" s="5" t="s">
        <v>20</v>
      </c>
      <c r="J356" s="2" t="s">
        <v>50</v>
      </c>
      <c r="K356" s="2" t="s">
        <v>50</v>
      </c>
      <c r="L356" s="2" t="s">
        <v>33</v>
      </c>
      <c r="M356" s="5" t="s">
        <v>37</v>
      </c>
      <c r="N356" s="5" t="s">
        <v>44</v>
      </c>
      <c r="O356" s="5" t="s">
        <v>24</v>
      </c>
      <c r="S356" s="6"/>
      <c r="T356" s="6"/>
      <c r="U356" s="6"/>
      <c r="V356" s="6"/>
      <c r="W356" s="6"/>
      <c r="X356" s="6"/>
    </row>
    <row r="357">
      <c r="A357" s="1" t="str">
        <f>IFERROR(__xludf.DUMMYFUNCTION("""COMPUTED_VALUE"""),"2402-028")</f>
        <v>2402-028</v>
      </c>
      <c r="B357" s="1" t="str">
        <f>IFERROR(__xludf.DUMMYFUNCTION("""COMPUTED_VALUE"""),"Barber - Sausalito Remodel")</f>
        <v>Barber - Sausalito Remodel</v>
      </c>
      <c r="C357" s="1" t="str">
        <f>IFERROR(__xludf.DUMMYFUNCTION("""COMPUTED_VALUE"""),"Abandoned,Expired")</f>
        <v>Abandoned,Expired</v>
      </c>
      <c r="D357" s="4">
        <f>IFERROR(__xludf.DUMMYFUNCTION("""COMPUTED_VALUE"""),723224.0)</f>
        <v>723224</v>
      </c>
      <c r="E357" s="5" t="s">
        <v>34</v>
      </c>
      <c r="J357" s="2" t="s">
        <v>35</v>
      </c>
      <c r="K357" s="2" t="s">
        <v>40</v>
      </c>
      <c r="L357" s="2" t="s">
        <v>23</v>
      </c>
      <c r="M357" s="5" t="s">
        <v>37</v>
      </c>
      <c r="N357" s="5" t="s">
        <v>24</v>
      </c>
      <c r="O357" s="5" t="s">
        <v>48</v>
      </c>
      <c r="S357" s="3">
        <v>46005.21025986111</v>
      </c>
      <c r="T357" s="6"/>
      <c r="U357" s="6"/>
      <c r="V357" s="6"/>
      <c r="W357" s="3">
        <v>46006.020006770836</v>
      </c>
      <c r="X357" s="6"/>
    </row>
    <row r="358">
      <c r="A358" s="1" t="str">
        <f>IFERROR(__xludf.DUMMYFUNCTION("""COMPUTED_VALUE"""),"2402-001")</f>
        <v>2402-001</v>
      </c>
      <c r="B358" s="1" t="str">
        <f>IFERROR(__xludf.DUMMYFUNCTION("""COMPUTED_VALUE"""),"Majors Residential Care")</f>
        <v>Majors Residential Care</v>
      </c>
      <c r="C358" s="1" t="str">
        <f>IFERROR(__xludf.DUMMYFUNCTION("""COMPUTED_VALUE"""),"Do Not Click - Final Submit for Approval")</f>
        <v>Do Not Click - Final Submit for Approval</v>
      </c>
      <c r="D358" s="4">
        <f>IFERROR(__xludf.DUMMYFUNCTION("""COMPUTED_VALUE"""),722010.0)</f>
        <v>722010</v>
      </c>
      <c r="E358" s="5" t="s">
        <v>20</v>
      </c>
      <c r="J358" s="2" t="s">
        <v>50</v>
      </c>
      <c r="K358" s="2" t="s">
        <v>40</v>
      </c>
      <c r="L358" s="2" t="s">
        <v>32</v>
      </c>
      <c r="M358" s="5" t="s">
        <v>37</v>
      </c>
      <c r="N358" s="5" t="s">
        <v>48</v>
      </c>
      <c r="O358" s="5" t="s">
        <v>27</v>
      </c>
      <c r="S358" s="6"/>
      <c r="T358" s="6"/>
      <c r="U358" s="6"/>
      <c r="V358" s="6"/>
      <c r="W358" s="6"/>
      <c r="X358" s="6"/>
    </row>
    <row r="359">
      <c r="A359" s="1" t="str">
        <f>IFERROR(__xludf.DUMMYFUNCTION("""COMPUTED_VALUE"""),"2401-208")</f>
        <v>2401-208</v>
      </c>
      <c r="B359" s="1" t="str">
        <f>IFERROR(__xludf.DUMMYFUNCTION("""COMPUTED_VALUE"""),"Kaar Residence")</f>
        <v>Kaar Residence</v>
      </c>
      <c r="C359" s="1" t="str">
        <f>IFERROR(__xludf.DUMMYFUNCTION("""COMPUTED_VALUE"""),"A007.8 Pending Submittal")</f>
        <v>A007.8 Pending Submittal</v>
      </c>
      <c r="D359" s="4">
        <f>IFERROR(__xludf.DUMMYFUNCTION("""COMPUTED_VALUE"""),730377.0)</f>
        <v>730377</v>
      </c>
      <c r="E359" s="5" t="s">
        <v>20</v>
      </c>
      <c r="F359" s="2"/>
      <c r="J359" s="2" t="s">
        <v>51</v>
      </c>
      <c r="K359" s="2" t="s">
        <v>33</v>
      </c>
      <c r="L359" s="2" t="s">
        <v>39</v>
      </c>
      <c r="M359" s="5" t="s">
        <v>24</v>
      </c>
      <c r="N359" s="5" t="s">
        <v>27</v>
      </c>
      <c r="O359" s="5" t="s">
        <v>24</v>
      </c>
      <c r="S359" s="6"/>
      <c r="T359" s="6"/>
      <c r="U359" s="3">
        <v>46005.205028125</v>
      </c>
      <c r="V359" s="3">
        <v>46005.44657975694</v>
      </c>
      <c r="W359" s="3">
        <v>46005.44668971065</v>
      </c>
      <c r="X359" s="6"/>
    </row>
    <row r="360">
      <c r="A360" s="1" t="str">
        <f>IFERROR(__xludf.DUMMYFUNCTION("""COMPUTED_VALUE"""),"2401-202")</f>
        <v>2401-202</v>
      </c>
      <c r="B360" s="1" t="str">
        <f>IFERROR(__xludf.DUMMYFUNCTION("""COMPUTED_VALUE"""),"Gudat Addtion")</f>
        <v>Gudat Addtion</v>
      </c>
      <c r="C360" s="1" t="str">
        <f>IFERROR(__xludf.DUMMYFUNCTION("""COMPUTED_VALUE"""),"Approved - Construction Phase")</f>
        <v>Approved - Construction Phase</v>
      </c>
      <c r="D360" s="4">
        <f>IFERROR(__xludf.DUMMYFUNCTION("""COMPUTED_VALUE"""),723342.0)</f>
        <v>723342</v>
      </c>
      <c r="E360" s="5" t="s">
        <v>20</v>
      </c>
      <c r="F360" s="2"/>
      <c r="J360" s="2" t="s">
        <v>51</v>
      </c>
      <c r="K360" s="2" t="s">
        <v>36</v>
      </c>
      <c r="L360" s="2" t="s">
        <v>23</v>
      </c>
      <c r="M360" s="5" t="s">
        <v>27</v>
      </c>
      <c r="N360" s="5" t="s">
        <v>24</v>
      </c>
      <c r="O360" s="5" t="s">
        <v>48</v>
      </c>
      <c r="S360" s="3">
        <v>46005.313494305556</v>
      </c>
      <c r="T360" s="6"/>
      <c r="U360" s="6"/>
      <c r="V360" s="3">
        <v>46005.31198222222</v>
      </c>
      <c r="W360" s="3">
        <v>46005.550815069444</v>
      </c>
      <c r="X360" s="6"/>
    </row>
    <row r="361">
      <c r="A361" s="1" t="str">
        <f>IFERROR(__xludf.DUMMYFUNCTION("""COMPUTED_VALUE"""),"2401-201")</f>
        <v>2401-201</v>
      </c>
      <c r="B361" s="1" t="str">
        <f>IFERROR(__xludf.DUMMYFUNCTION("""COMPUTED_VALUE"""),"Smith - Lancaster Addition")</f>
        <v>Smith - Lancaster Addition</v>
      </c>
      <c r="C361" s="1" t="str">
        <f>IFERROR(__xludf.DUMMYFUNCTION("""COMPUTED_VALUE"""),"Approved - Construction Phase")</f>
        <v>Approved - Construction Phase</v>
      </c>
      <c r="D361" s="4">
        <f>IFERROR(__xludf.DUMMYFUNCTION("""COMPUTED_VALUE"""),728181.0)</f>
        <v>728181</v>
      </c>
      <c r="E361" s="5" t="s">
        <v>20</v>
      </c>
      <c r="F361" s="2"/>
      <c r="J361" s="2" t="s">
        <v>32</v>
      </c>
      <c r="K361" s="2" t="s">
        <v>40</v>
      </c>
      <c r="L361" s="2" t="s">
        <v>32</v>
      </c>
      <c r="M361" s="5" t="s">
        <v>27</v>
      </c>
      <c r="N361" s="5" t="s">
        <v>44</v>
      </c>
      <c r="O361" s="5" t="s">
        <v>27</v>
      </c>
      <c r="R361" s="2" t="s">
        <v>58</v>
      </c>
      <c r="S361" s="3">
        <v>46005.502593576384</v>
      </c>
      <c r="T361" s="6"/>
      <c r="U361" s="3">
        <v>46005.224990752315</v>
      </c>
      <c r="V361" s="3">
        <v>46005.34762179398</v>
      </c>
      <c r="W361" s="3">
        <v>46005.31135002315</v>
      </c>
      <c r="X361" s="6"/>
    </row>
    <row r="362">
      <c r="A362" s="1" t="str">
        <f>IFERROR(__xludf.DUMMYFUNCTION("""COMPUTED_VALUE"""),"2401-001")</f>
        <v>2401-001</v>
      </c>
      <c r="B362" s="1" t="str">
        <f>IFERROR(__xludf.DUMMYFUNCTION("""COMPUTED_VALUE"""),"Sweetwater Womens Club Deck")</f>
        <v>Sweetwater Womens Club Deck</v>
      </c>
      <c r="C362" s="1" t="str">
        <f>IFERROR(__xludf.DUMMYFUNCTION("""COMPUTED_VALUE"""),"A008 Submitted - Waiting on Others")</f>
        <v>A008 Submitted - Waiting on Others</v>
      </c>
      <c r="D362" s="4">
        <f>IFERROR(__xludf.DUMMYFUNCTION("""COMPUTED_VALUE"""),719688.0)</f>
        <v>719688</v>
      </c>
      <c r="E362" s="5" t="s">
        <v>34</v>
      </c>
      <c r="J362" s="2" t="s">
        <v>42</v>
      </c>
      <c r="K362" s="2" t="s">
        <v>35</v>
      </c>
      <c r="L362" s="2" t="s">
        <v>22</v>
      </c>
      <c r="M362" s="5" t="s">
        <v>27</v>
      </c>
      <c r="N362" s="5" t="s">
        <v>48</v>
      </c>
      <c r="O362" s="2" t="s">
        <v>37</v>
      </c>
      <c r="S362" s="6"/>
      <c r="T362" s="6"/>
      <c r="U362" s="3">
        <v>46007.00676300926</v>
      </c>
      <c r="V362" s="6"/>
      <c r="W362" s="6"/>
      <c r="X362" s="6"/>
    </row>
    <row r="363">
      <c r="A363" s="1" t="str">
        <f>IFERROR(__xludf.DUMMYFUNCTION("""COMPUTED_VALUE"""),"2400-3XX")</f>
        <v>2400-3XX</v>
      </c>
      <c r="B363" s="1" t="str">
        <f>IFERROR(__xludf.DUMMYFUNCTION("""COMPUTED_VALUE"""),"Tester Big-Bear-Remodel")</f>
        <v>Tester Big-Bear-Remodel</v>
      </c>
      <c r="C363" s="1" t="str">
        <f>IFERROR(__xludf.DUMMYFUNCTION("""COMPUTED_VALUE"""),"Abandoned,Expired")</f>
        <v>Abandoned,Expired</v>
      </c>
      <c r="D363" s="4">
        <f>IFERROR(__xludf.DUMMYFUNCTION("""COMPUTED_VALUE"""),966650.0)</f>
        <v>966650</v>
      </c>
      <c r="E363" s="5" t="s">
        <v>34</v>
      </c>
      <c r="J363" s="2" t="s">
        <v>43</v>
      </c>
      <c r="K363" s="2" t="s">
        <v>39</v>
      </c>
      <c r="L363" s="2" t="s">
        <v>23</v>
      </c>
      <c r="M363" s="5" t="s">
        <v>27</v>
      </c>
      <c r="N363" s="5" t="s">
        <v>27</v>
      </c>
      <c r="O363" s="5" t="s">
        <v>24</v>
      </c>
      <c r="S363" s="6"/>
      <c r="T363" s="6"/>
      <c r="U363" s="6"/>
      <c r="V363" s="3"/>
      <c r="W363" s="3">
        <v>46006.01184252315</v>
      </c>
      <c r="X363" s="6"/>
    </row>
    <row r="364">
      <c r="A364" s="1" t="str">
        <f>IFERROR(__xludf.DUMMYFUNCTION("""COMPUTED_VALUE"""),"2312-206")</f>
        <v>2312-206</v>
      </c>
      <c r="B364" s="1" t="str">
        <f>IFERROR(__xludf.DUMMYFUNCTION("""COMPUTED_VALUE"""),"Dacumos Remodel")</f>
        <v>Dacumos Remodel</v>
      </c>
      <c r="C364" s="1" t="str">
        <f>IFERROR(__xludf.DUMMYFUNCTION("""COMPUTED_VALUE"""),"Approved - Construction Phase")</f>
        <v>Approved - Construction Phase</v>
      </c>
      <c r="D364" s="4">
        <f>IFERROR(__xludf.DUMMYFUNCTION("""COMPUTED_VALUE"""),735423.0)</f>
        <v>735423</v>
      </c>
      <c r="E364" s="5" t="s">
        <v>34</v>
      </c>
      <c r="J364" s="2" t="s">
        <v>43</v>
      </c>
      <c r="K364" s="2" t="s">
        <v>35</v>
      </c>
      <c r="L364" s="2" t="s">
        <v>35</v>
      </c>
      <c r="M364" s="5" t="s">
        <v>27</v>
      </c>
      <c r="N364" s="5" t="s">
        <v>24</v>
      </c>
      <c r="O364" s="5" t="s">
        <v>24</v>
      </c>
      <c r="S364" s="6"/>
      <c r="T364" s="6"/>
      <c r="U364" s="6"/>
      <c r="V364" s="6"/>
      <c r="W364" s="6"/>
      <c r="X364" s="6"/>
    </row>
    <row r="365">
      <c r="A365" s="1" t="str">
        <f>IFERROR(__xludf.DUMMYFUNCTION("""COMPUTED_VALUE"""),"2312-205")</f>
        <v>2312-205</v>
      </c>
      <c r="B365" s="1" t="str">
        <f>IFERROR(__xludf.DUMMYFUNCTION("""COMPUTED_VALUE"""),"Fierce Fit")</f>
        <v>Fierce Fit</v>
      </c>
      <c r="C365" s="1" t="str">
        <f>IFERROR(__xludf.DUMMYFUNCTION("""COMPUTED_VALUE"""),"Do Not Click - Final Submit for Approval")</f>
        <v>Do Not Click - Final Submit for Approval</v>
      </c>
      <c r="D365" s="4">
        <f>IFERROR(__xludf.DUMMYFUNCTION("""COMPUTED_VALUE"""),736565.0)</f>
        <v>736565</v>
      </c>
      <c r="E365" s="5" t="s">
        <v>34</v>
      </c>
      <c r="F365" s="2"/>
      <c r="J365" s="2" t="s">
        <v>25</v>
      </c>
      <c r="K365" s="2" t="s">
        <v>25</v>
      </c>
      <c r="L365" s="2" t="s">
        <v>23</v>
      </c>
      <c r="M365" s="5" t="s">
        <v>24</v>
      </c>
      <c r="N365" s="5" t="s">
        <v>44</v>
      </c>
      <c r="O365" s="5" t="s">
        <v>44</v>
      </c>
      <c r="S365" s="6"/>
      <c r="T365" s="3">
        <v>46006.24529423611</v>
      </c>
      <c r="U365" s="6"/>
      <c r="V365" s="3">
        <v>46005.00940494213</v>
      </c>
      <c r="W365" s="3"/>
      <c r="X365" s="6"/>
    </row>
    <row r="366">
      <c r="A366" s="1" t="str">
        <f>IFERROR(__xludf.DUMMYFUNCTION("""COMPUTED_VALUE"""),"2312-203")</f>
        <v>2312-203</v>
      </c>
      <c r="B366" s="1" t="str">
        <f>IFERROR(__xludf.DUMMYFUNCTION("""COMPUTED_VALUE"""),"Zheng Chatsworth New Residence")</f>
        <v>Zheng Chatsworth New Residence</v>
      </c>
      <c r="C366" s="1" t="str">
        <f>IFERROR(__xludf.DUMMYFUNCTION("""COMPUTED_VALUE"""),"Abandoned,Expired")</f>
        <v>Abandoned,Expired</v>
      </c>
      <c r="D366" s="4">
        <f>IFERROR(__xludf.DUMMYFUNCTION("""COMPUTED_VALUE"""),721090.0)</f>
        <v>721090</v>
      </c>
      <c r="E366" s="5" t="s">
        <v>20</v>
      </c>
      <c r="J366" s="2" t="s">
        <v>51</v>
      </c>
      <c r="K366" s="2" t="s">
        <v>50</v>
      </c>
      <c r="L366" s="2" t="s">
        <v>25</v>
      </c>
      <c r="M366" s="5" t="s">
        <v>27</v>
      </c>
      <c r="N366" s="5" t="s">
        <v>27</v>
      </c>
      <c r="O366" s="5" t="s">
        <v>27</v>
      </c>
      <c r="S366" s="6"/>
      <c r="T366" s="6"/>
      <c r="U366" s="6"/>
      <c r="V366" s="6"/>
      <c r="W366" s="6"/>
      <c r="X366" s="6"/>
    </row>
    <row r="367">
      <c r="A367" s="1" t="str">
        <f>IFERROR(__xludf.DUMMYFUNCTION("""COMPUTED_VALUE"""),"2312-010")</f>
        <v>2312-010</v>
      </c>
      <c r="B367" s="1" t="str">
        <f>IFERROR(__xludf.DUMMYFUNCTION("""COMPUTED_VALUE"""),"PSG Project Template")</f>
        <v>PSG Project Template</v>
      </c>
      <c r="C367" s="1" t="str">
        <f>IFERROR(__xludf.DUMMYFUNCTION("""COMPUTED_VALUE"""),"A001 Estimate, Proposal &amp; Project Data")</f>
        <v>A001 Estimate, Proposal &amp; Project Data</v>
      </c>
      <c r="D367" s="4">
        <f>IFERROR(__xludf.DUMMYFUNCTION("""COMPUTED_VALUE"""),756172.0)</f>
        <v>756172</v>
      </c>
      <c r="E367" s="5" t="s">
        <v>34</v>
      </c>
      <c r="F367" s="2"/>
      <c r="J367" s="2" t="s">
        <v>47</v>
      </c>
      <c r="K367" s="2" t="s">
        <v>32</v>
      </c>
      <c r="L367" s="2" t="s">
        <v>42</v>
      </c>
      <c r="M367" s="5" t="s">
        <v>27</v>
      </c>
      <c r="N367" s="5" t="s">
        <v>44</v>
      </c>
      <c r="O367" s="5" t="s">
        <v>27</v>
      </c>
      <c r="S367" s="3">
        <v>46006.24488569444</v>
      </c>
      <c r="T367" s="6"/>
      <c r="U367" s="6"/>
      <c r="V367" s="3">
        <v>46005.3590733912</v>
      </c>
      <c r="W367" s="3">
        <v>46005.359105972224</v>
      </c>
      <c r="X367" s="6"/>
    </row>
    <row r="368">
      <c r="A368" s="1" t="str">
        <f>IFERROR(__xludf.DUMMYFUNCTION("""COMPUTED_VALUE"""),"2301-002")</f>
        <v>2301-002</v>
      </c>
      <c r="B368" s="1" t="str">
        <f>IFERROR(__xludf.DUMMYFUNCTION("""COMPUTED_VALUE"""),"Crisp Construction Administration (MFPE)")</f>
        <v>Crisp Construction Administration (MFPE)</v>
      </c>
      <c r="C368" s="1" t="str">
        <f>IFERROR(__xludf.DUMMYFUNCTION("""COMPUTED_VALUE"""),"Approved - Construction Phase")</f>
        <v>Approved - Construction Phase</v>
      </c>
      <c r="D368" s="4">
        <f>IFERROR(__xludf.DUMMYFUNCTION("""COMPUTED_VALUE"""),722758.0)</f>
        <v>722758</v>
      </c>
      <c r="E368" s="5" t="s">
        <v>34</v>
      </c>
      <c r="F368" s="2"/>
      <c r="J368" s="2" t="s">
        <v>51</v>
      </c>
      <c r="K368" s="2" t="s">
        <v>25</v>
      </c>
      <c r="L368" s="2" t="s">
        <v>22</v>
      </c>
      <c r="M368" s="5" t="s">
        <v>48</v>
      </c>
      <c r="N368" s="5" t="s">
        <v>44</v>
      </c>
      <c r="O368" s="2" t="s">
        <v>24</v>
      </c>
      <c r="S368" s="3">
        <v>46006.008951412034</v>
      </c>
      <c r="T368" s="3">
        <v>46005.122207650464</v>
      </c>
      <c r="U368" s="3">
        <v>46006.38477244213</v>
      </c>
      <c r="V368" s="3">
        <v>46006.21565976852</v>
      </c>
      <c r="W368" s="3">
        <v>46005.30316877315</v>
      </c>
      <c r="X368" s="6"/>
    </row>
    <row r="369">
      <c r="A369" s="1"/>
      <c r="B369" s="1"/>
      <c r="C369" s="1"/>
      <c r="D369" s="4"/>
      <c r="S369" s="6"/>
      <c r="T369" s="6"/>
      <c r="U369" s="6"/>
      <c r="V369" s="6"/>
      <c r="W369" s="6"/>
      <c r="X369" s="6"/>
    </row>
    <row r="370">
      <c r="A370" s="1"/>
      <c r="B370" s="1"/>
      <c r="C370" s="1"/>
      <c r="D370" s="4"/>
      <c r="S370" s="6"/>
      <c r="T370" s="6"/>
      <c r="U370" s="6"/>
      <c r="V370" s="6"/>
      <c r="W370" s="6"/>
      <c r="X370" s="6"/>
    </row>
    <row r="371">
      <c r="A371" s="1"/>
      <c r="B371" s="1"/>
      <c r="C371" s="1"/>
      <c r="D371" s="4"/>
      <c r="S371" s="6"/>
      <c r="T371" s="6"/>
      <c r="U371" s="6"/>
      <c r="V371" s="6"/>
      <c r="W371" s="6"/>
      <c r="X371" s="6"/>
    </row>
    <row r="372">
      <c r="A372" s="1"/>
      <c r="B372" s="1"/>
      <c r="C372" s="1"/>
      <c r="D372" s="4"/>
      <c r="S372" s="6"/>
      <c r="T372" s="6"/>
      <c r="U372" s="6"/>
      <c r="V372" s="6"/>
      <c r="W372" s="6"/>
      <c r="X372" s="6"/>
    </row>
    <row r="373">
      <c r="A373" s="1"/>
      <c r="B373" s="1"/>
      <c r="C373" s="1"/>
      <c r="D373" s="4"/>
      <c r="S373" s="6"/>
      <c r="T373" s="6"/>
      <c r="U373" s="6"/>
      <c r="V373" s="6"/>
      <c r="W373" s="6"/>
      <c r="X373" s="6"/>
    </row>
    <row r="374">
      <c r="A374" s="1"/>
      <c r="B374" s="1"/>
      <c r="C374" s="1"/>
      <c r="D374" s="4"/>
      <c r="S374" s="6"/>
      <c r="T374" s="6"/>
      <c r="U374" s="6"/>
      <c r="V374" s="6"/>
      <c r="W374" s="6"/>
      <c r="X374" s="6"/>
    </row>
    <row r="375">
      <c r="A375" s="1"/>
      <c r="B375" s="1"/>
      <c r="C375" s="1"/>
      <c r="D375" s="4"/>
      <c r="S375" s="6"/>
      <c r="T375" s="6"/>
      <c r="U375" s="6"/>
      <c r="V375" s="6"/>
      <c r="W375" s="6"/>
      <c r="X375" s="6"/>
    </row>
    <row r="376">
      <c r="A376" s="1"/>
      <c r="B376" s="1"/>
      <c r="C376" s="1"/>
      <c r="D376" s="4"/>
      <c r="S376" s="6"/>
      <c r="T376" s="6"/>
      <c r="U376" s="6"/>
      <c r="V376" s="6"/>
      <c r="W376" s="6"/>
      <c r="X376" s="6"/>
    </row>
    <row r="377">
      <c r="A377" s="1"/>
      <c r="B377" s="1"/>
      <c r="C377" s="1"/>
      <c r="D377" s="4"/>
      <c r="S377" s="6"/>
      <c r="T377" s="6"/>
      <c r="U377" s="6"/>
      <c r="V377" s="6"/>
      <c r="W377" s="6"/>
      <c r="X377" s="6"/>
    </row>
    <row r="378">
      <c r="A378" s="1"/>
      <c r="B378" s="1"/>
      <c r="C378" s="1"/>
      <c r="D378" s="4"/>
      <c r="S378" s="6"/>
      <c r="T378" s="6"/>
      <c r="U378" s="6"/>
      <c r="V378" s="6"/>
      <c r="W378" s="6"/>
      <c r="X378" s="6"/>
    </row>
    <row r="379">
      <c r="A379" s="1"/>
      <c r="B379" s="1"/>
      <c r="C379" s="1"/>
      <c r="D379" s="4"/>
      <c r="S379" s="6"/>
      <c r="T379" s="6"/>
      <c r="U379" s="6"/>
      <c r="V379" s="6"/>
      <c r="W379" s="6"/>
      <c r="X379" s="6"/>
    </row>
    <row r="380">
      <c r="A380" s="1"/>
      <c r="B380" s="1"/>
      <c r="C380" s="1"/>
      <c r="D380" s="4"/>
      <c r="S380" s="6"/>
      <c r="T380" s="6"/>
      <c r="U380" s="6"/>
      <c r="V380" s="6"/>
      <c r="W380" s="6"/>
      <c r="X380" s="6"/>
    </row>
    <row r="381">
      <c r="A381" s="1"/>
      <c r="B381" s="1"/>
      <c r="C381" s="1"/>
      <c r="D381" s="4"/>
      <c r="S381" s="6"/>
      <c r="T381" s="6"/>
      <c r="U381" s="6"/>
      <c r="V381" s="6"/>
      <c r="W381" s="6"/>
      <c r="X381" s="6"/>
    </row>
    <row r="382">
      <c r="A382" s="1"/>
      <c r="B382" s="1"/>
      <c r="C382" s="1"/>
      <c r="D382" s="4"/>
      <c r="S382" s="6"/>
      <c r="T382" s="6"/>
      <c r="U382" s="6"/>
      <c r="V382" s="6"/>
      <c r="W382" s="6"/>
      <c r="X382" s="6"/>
    </row>
    <row r="383">
      <c r="A383" s="1"/>
      <c r="B383" s="1"/>
      <c r="C383" s="1"/>
      <c r="D383" s="4"/>
      <c r="S383" s="6"/>
      <c r="T383" s="6"/>
      <c r="U383" s="6"/>
      <c r="V383" s="6"/>
      <c r="W383" s="6"/>
      <c r="X383" s="6"/>
    </row>
    <row r="384">
      <c r="A384" s="1"/>
      <c r="B384" s="1"/>
      <c r="C384" s="1"/>
      <c r="D384" s="4"/>
      <c r="S384" s="6"/>
      <c r="T384" s="6"/>
      <c r="U384" s="6"/>
      <c r="V384" s="6"/>
      <c r="W384" s="6"/>
      <c r="X384" s="6"/>
    </row>
    <row r="385">
      <c r="A385" s="1"/>
      <c r="B385" s="1"/>
      <c r="C385" s="1"/>
      <c r="D385" s="4"/>
      <c r="S385" s="6"/>
      <c r="T385" s="6"/>
      <c r="U385" s="6"/>
      <c r="V385" s="6"/>
      <c r="W385" s="6"/>
      <c r="X385" s="6"/>
    </row>
    <row r="386">
      <c r="A386" s="1"/>
      <c r="B386" s="1"/>
      <c r="C386" s="1"/>
      <c r="D386" s="4"/>
      <c r="S386" s="6"/>
      <c r="T386" s="6"/>
      <c r="U386" s="6"/>
      <c r="V386" s="6"/>
      <c r="W386" s="6"/>
      <c r="X386" s="6"/>
    </row>
    <row r="387">
      <c r="A387" s="1"/>
      <c r="B387" s="1"/>
      <c r="C387" s="1"/>
      <c r="D387" s="4"/>
      <c r="S387" s="6"/>
      <c r="T387" s="6"/>
      <c r="U387" s="6"/>
      <c r="V387" s="6"/>
      <c r="W387" s="6"/>
      <c r="X387" s="6"/>
    </row>
    <row r="388">
      <c r="A388" s="1"/>
      <c r="B388" s="1"/>
      <c r="C388" s="1"/>
      <c r="D388" s="4"/>
      <c r="S388" s="6"/>
      <c r="T388" s="6"/>
      <c r="U388" s="6"/>
      <c r="V388" s="6"/>
      <c r="W388" s="6"/>
      <c r="X388" s="6"/>
    </row>
    <row r="389">
      <c r="A389" s="1"/>
      <c r="B389" s="1"/>
      <c r="C389" s="1"/>
      <c r="D389" s="4"/>
      <c r="S389" s="6"/>
      <c r="T389" s="6"/>
      <c r="U389" s="6"/>
      <c r="V389" s="6"/>
      <c r="W389" s="6"/>
      <c r="X389" s="6"/>
    </row>
    <row r="390">
      <c r="A390" s="1"/>
      <c r="B390" s="1"/>
      <c r="C390" s="1"/>
      <c r="D390" s="4"/>
      <c r="S390" s="6"/>
      <c r="T390" s="6"/>
      <c r="U390" s="6"/>
      <c r="V390" s="6"/>
      <c r="W390" s="6"/>
      <c r="X390" s="6"/>
    </row>
    <row r="391">
      <c r="A391" s="1"/>
      <c r="B391" s="1"/>
      <c r="C391" s="1"/>
      <c r="D391" s="4"/>
      <c r="S391" s="6"/>
      <c r="T391" s="6"/>
      <c r="U391" s="6"/>
      <c r="V391" s="6"/>
      <c r="W391" s="6"/>
      <c r="X391" s="6"/>
    </row>
    <row r="392">
      <c r="A392" s="1"/>
      <c r="B392" s="1"/>
      <c r="C392" s="1"/>
      <c r="D392" s="4"/>
      <c r="S392" s="6"/>
      <c r="T392" s="6"/>
      <c r="U392" s="6"/>
      <c r="V392" s="6"/>
      <c r="W392" s="6"/>
      <c r="X392" s="6"/>
    </row>
    <row r="393">
      <c r="A393" s="1"/>
      <c r="B393" s="1"/>
      <c r="C393" s="1"/>
      <c r="D393" s="4"/>
      <c r="S393" s="6"/>
      <c r="T393" s="6"/>
      <c r="U393" s="6"/>
      <c r="V393" s="6"/>
      <c r="W393" s="6"/>
      <c r="X393" s="6"/>
    </row>
    <row r="394">
      <c r="A394" s="1"/>
      <c r="B394" s="1"/>
      <c r="C394" s="1"/>
      <c r="D394" s="4"/>
      <c r="S394" s="6"/>
      <c r="T394" s="6"/>
      <c r="U394" s="6"/>
      <c r="V394" s="6"/>
      <c r="W394" s="6"/>
      <c r="X394" s="6"/>
    </row>
    <row r="395">
      <c r="A395" s="1"/>
      <c r="B395" s="1"/>
      <c r="C395" s="1"/>
      <c r="D395" s="4"/>
      <c r="S395" s="6"/>
      <c r="T395" s="6"/>
      <c r="U395" s="6"/>
      <c r="V395" s="6"/>
      <c r="W395" s="6"/>
      <c r="X395" s="6"/>
    </row>
    <row r="396">
      <c r="A396" s="1"/>
      <c r="B396" s="1"/>
      <c r="C396" s="1"/>
      <c r="D396" s="4"/>
      <c r="S396" s="6"/>
      <c r="T396" s="6"/>
      <c r="U396" s="6"/>
      <c r="V396" s="6"/>
      <c r="W396" s="6"/>
      <c r="X396" s="6"/>
    </row>
    <row r="397">
      <c r="A397" s="1"/>
      <c r="B397" s="1"/>
      <c r="C397" s="1"/>
      <c r="D397" s="4"/>
      <c r="S397" s="6"/>
      <c r="T397" s="6"/>
      <c r="U397" s="6"/>
      <c r="V397" s="6"/>
      <c r="W397" s="6"/>
      <c r="X397" s="6"/>
    </row>
    <row r="398">
      <c r="A398" s="1"/>
      <c r="B398" s="1"/>
      <c r="C398" s="1"/>
      <c r="D398" s="4"/>
      <c r="S398" s="6"/>
      <c r="T398" s="6"/>
      <c r="U398" s="6"/>
      <c r="V398" s="6"/>
      <c r="W398" s="6"/>
      <c r="X398" s="6"/>
    </row>
    <row r="399">
      <c r="A399" s="1"/>
      <c r="B399" s="1"/>
      <c r="C399" s="1"/>
      <c r="D399" s="4"/>
      <c r="S399" s="6"/>
      <c r="T399" s="6"/>
      <c r="U399" s="6"/>
      <c r="V399" s="6"/>
      <c r="W399" s="6"/>
      <c r="X399" s="6"/>
    </row>
    <row r="400">
      <c r="A400" s="1"/>
      <c r="B400" s="1"/>
      <c r="C400" s="1"/>
      <c r="D400" s="4"/>
      <c r="S400" s="6"/>
      <c r="T400" s="6"/>
      <c r="U400" s="6"/>
      <c r="V400" s="6"/>
      <c r="W400" s="6"/>
      <c r="X400" s="6"/>
    </row>
    <row r="401">
      <c r="A401" s="1"/>
      <c r="B401" s="1"/>
      <c r="C401" s="1"/>
      <c r="D401" s="4"/>
      <c r="S401" s="6"/>
      <c r="T401" s="6"/>
      <c r="U401" s="6"/>
      <c r="V401" s="6"/>
      <c r="W401" s="6"/>
      <c r="X401" s="6"/>
    </row>
    <row r="402">
      <c r="A402" s="1"/>
      <c r="B402" s="1"/>
      <c r="C402" s="1"/>
      <c r="D402" s="4"/>
      <c r="S402" s="6"/>
      <c r="T402" s="6"/>
      <c r="U402" s="6"/>
      <c r="V402" s="6"/>
      <c r="W402" s="6"/>
      <c r="X402" s="6"/>
    </row>
    <row r="403">
      <c r="A403" s="1"/>
      <c r="B403" s="1"/>
      <c r="C403" s="1"/>
      <c r="D403" s="4"/>
      <c r="S403" s="6"/>
      <c r="T403" s="6"/>
      <c r="U403" s="6"/>
      <c r="V403" s="6"/>
      <c r="W403" s="6"/>
      <c r="X403" s="6"/>
    </row>
    <row r="404">
      <c r="A404" s="1"/>
      <c r="B404" s="1"/>
      <c r="C404" s="1"/>
      <c r="D404" s="4"/>
      <c r="S404" s="6"/>
      <c r="T404" s="6"/>
      <c r="U404" s="6"/>
      <c r="V404" s="6"/>
      <c r="W404" s="6"/>
      <c r="X404" s="6"/>
    </row>
    <row r="405">
      <c r="A405" s="1"/>
      <c r="B405" s="1"/>
      <c r="C405" s="1"/>
      <c r="D405" s="4"/>
      <c r="S405" s="6"/>
      <c r="T405" s="6"/>
      <c r="U405" s="6"/>
      <c r="V405" s="6"/>
      <c r="W405" s="6"/>
      <c r="X405" s="6"/>
    </row>
    <row r="406">
      <c r="A406" s="1"/>
      <c r="B406" s="1"/>
      <c r="C406" s="1"/>
      <c r="D406" s="4"/>
      <c r="S406" s="6"/>
      <c r="T406" s="6"/>
      <c r="U406" s="6"/>
      <c r="V406" s="6"/>
      <c r="W406" s="6"/>
      <c r="X406" s="6"/>
    </row>
    <row r="407">
      <c r="A407" s="1"/>
      <c r="B407" s="1"/>
      <c r="C407" s="1"/>
      <c r="D407" s="4"/>
      <c r="S407" s="6"/>
      <c r="T407" s="6"/>
      <c r="U407" s="6"/>
      <c r="V407" s="6"/>
      <c r="W407" s="6"/>
      <c r="X407" s="6"/>
    </row>
    <row r="408">
      <c r="A408" s="1"/>
      <c r="B408" s="1"/>
      <c r="C408" s="1"/>
      <c r="D408" s="4"/>
      <c r="S408" s="6"/>
      <c r="T408" s="6"/>
      <c r="U408" s="6"/>
      <c r="V408" s="6"/>
      <c r="W408" s="6"/>
      <c r="X408" s="6"/>
    </row>
    <row r="409">
      <c r="A409" s="1"/>
      <c r="B409" s="1"/>
      <c r="C409" s="1"/>
      <c r="D409" s="4"/>
      <c r="S409" s="6"/>
      <c r="T409" s="6"/>
      <c r="U409" s="6"/>
      <c r="V409" s="6"/>
      <c r="W409" s="6"/>
      <c r="X409" s="6"/>
    </row>
    <row r="410">
      <c r="A410" s="1"/>
      <c r="B410" s="1"/>
      <c r="C410" s="1"/>
      <c r="D410" s="4"/>
      <c r="S410" s="6"/>
      <c r="T410" s="6"/>
      <c r="U410" s="6"/>
      <c r="V410" s="6"/>
      <c r="W410" s="6"/>
      <c r="X410" s="6"/>
    </row>
    <row r="411">
      <c r="A411" s="1"/>
      <c r="B411" s="1"/>
      <c r="C411" s="1"/>
      <c r="D411" s="4"/>
      <c r="S411" s="6"/>
      <c r="T411" s="6"/>
      <c r="U411" s="6"/>
      <c r="V411" s="6"/>
      <c r="W411" s="6"/>
      <c r="X411" s="6"/>
    </row>
    <row r="412">
      <c r="A412" s="1"/>
      <c r="B412" s="1"/>
      <c r="C412" s="1"/>
      <c r="D412" s="4"/>
      <c r="S412" s="6"/>
      <c r="T412" s="6"/>
      <c r="U412" s="6"/>
      <c r="V412" s="6"/>
      <c r="W412" s="6"/>
      <c r="X412" s="6"/>
    </row>
    <row r="413">
      <c r="A413" s="1"/>
      <c r="B413" s="1"/>
      <c r="C413" s="1"/>
      <c r="D413" s="4"/>
      <c r="S413" s="6"/>
      <c r="T413" s="6"/>
      <c r="U413" s="6"/>
      <c r="V413" s="6"/>
      <c r="W413" s="6"/>
      <c r="X413" s="6"/>
    </row>
    <row r="414">
      <c r="A414" s="1"/>
      <c r="B414" s="1"/>
      <c r="C414" s="1"/>
      <c r="D414" s="4"/>
      <c r="S414" s="6"/>
      <c r="T414" s="6"/>
      <c r="U414" s="6"/>
      <c r="V414" s="6"/>
      <c r="W414" s="6"/>
      <c r="X414" s="6"/>
    </row>
    <row r="415">
      <c r="A415" s="1"/>
      <c r="B415" s="1"/>
      <c r="C415" s="1"/>
      <c r="D415" s="4"/>
      <c r="S415" s="6"/>
      <c r="T415" s="6"/>
      <c r="U415" s="6"/>
      <c r="V415" s="6"/>
      <c r="W415" s="6"/>
      <c r="X415" s="6"/>
    </row>
    <row r="416">
      <c r="A416" s="1"/>
      <c r="B416" s="1"/>
      <c r="C416" s="1"/>
      <c r="D416" s="4"/>
      <c r="S416" s="6"/>
      <c r="T416" s="6"/>
      <c r="U416" s="6"/>
      <c r="V416" s="6"/>
      <c r="W416" s="6"/>
      <c r="X416" s="6"/>
    </row>
    <row r="417">
      <c r="A417" s="1"/>
      <c r="B417" s="1"/>
      <c r="C417" s="1"/>
      <c r="D417" s="4"/>
      <c r="S417" s="6"/>
      <c r="T417" s="6"/>
      <c r="U417" s="6"/>
      <c r="V417" s="6"/>
      <c r="W417" s="6"/>
      <c r="X417" s="6"/>
    </row>
    <row r="418">
      <c r="A418" s="1"/>
      <c r="B418" s="1"/>
      <c r="C418" s="1"/>
      <c r="D418" s="4"/>
      <c r="S418" s="6"/>
      <c r="T418" s="6"/>
      <c r="U418" s="6"/>
      <c r="V418" s="6"/>
      <c r="W418" s="6"/>
      <c r="X418" s="6"/>
    </row>
    <row r="419">
      <c r="A419" s="1"/>
      <c r="B419" s="1"/>
      <c r="C419" s="1"/>
      <c r="D419" s="4"/>
      <c r="S419" s="6"/>
      <c r="T419" s="6"/>
      <c r="U419" s="6"/>
      <c r="V419" s="6"/>
      <c r="W419" s="6"/>
      <c r="X419" s="6"/>
    </row>
    <row r="420">
      <c r="A420" s="1"/>
      <c r="B420" s="1"/>
      <c r="C420" s="1"/>
      <c r="D420" s="4"/>
      <c r="S420" s="6"/>
      <c r="T420" s="6"/>
      <c r="U420" s="6"/>
      <c r="V420" s="6"/>
      <c r="W420" s="6"/>
      <c r="X420" s="6"/>
    </row>
    <row r="421">
      <c r="A421" s="1"/>
      <c r="B421" s="1"/>
      <c r="C421" s="1"/>
      <c r="D421" s="4"/>
      <c r="S421" s="6"/>
      <c r="T421" s="6"/>
      <c r="U421" s="6"/>
      <c r="V421" s="6"/>
      <c r="W421" s="6"/>
      <c r="X421" s="6"/>
    </row>
    <row r="422">
      <c r="A422" s="1"/>
      <c r="B422" s="1"/>
      <c r="C422" s="1"/>
      <c r="D422" s="4"/>
      <c r="S422" s="6"/>
      <c r="T422" s="6"/>
      <c r="U422" s="6"/>
      <c r="V422" s="6"/>
      <c r="W422" s="6"/>
      <c r="X422" s="6"/>
    </row>
    <row r="423">
      <c r="A423" s="1"/>
      <c r="B423" s="1"/>
      <c r="C423" s="1"/>
      <c r="D423" s="4"/>
      <c r="S423" s="6"/>
      <c r="T423" s="6"/>
      <c r="U423" s="6"/>
      <c r="V423" s="6"/>
      <c r="W423" s="6"/>
      <c r="X423" s="6"/>
    </row>
    <row r="424">
      <c r="A424" s="1"/>
      <c r="B424" s="1"/>
      <c r="C424" s="1"/>
      <c r="D424" s="4"/>
      <c r="S424" s="6"/>
      <c r="T424" s="6"/>
      <c r="U424" s="6"/>
      <c r="V424" s="6"/>
      <c r="W424" s="6"/>
      <c r="X424" s="6"/>
    </row>
    <row r="425">
      <c r="A425" s="1"/>
      <c r="B425" s="1"/>
      <c r="C425" s="1"/>
      <c r="D425" s="4"/>
      <c r="S425" s="6"/>
      <c r="T425" s="6"/>
      <c r="U425" s="6"/>
      <c r="V425" s="6"/>
      <c r="W425" s="6"/>
      <c r="X425" s="6"/>
    </row>
    <row r="426">
      <c r="A426" s="1"/>
      <c r="B426" s="1"/>
      <c r="C426" s="1"/>
      <c r="D426" s="4"/>
      <c r="S426" s="6"/>
      <c r="T426" s="6"/>
      <c r="U426" s="6"/>
      <c r="V426" s="6"/>
      <c r="W426" s="6"/>
      <c r="X426" s="6"/>
    </row>
    <row r="427">
      <c r="A427" s="1"/>
      <c r="B427" s="1"/>
      <c r="C427" s="1"/>
      <c r="D427" s="4"/>
      <c r="S427" s="6"/>
      <c r="T427" s="6"/>
      <c r="U427" s="6"/>
      <c r="V427" s="6"/>
      <c r="W427" s="6"/>
      <c r="X427" s="6"/>
    </row>
    <row r="428">
      <c r="A428" s="1"/>
      <c r="B428" s="1"/>
      <c r="C428" s="1"/>
      <c r="D428" s="4"/>
      <c r="S428" s="6"/>
      <c r="T428" s="6"/>
      <c r="U428" s="6"/>
      <c r="V428" s="6"/>
      <c r="W428" s="6"/>
      <c r="X428" s="6"/>
    </row>
    <row r="429">
      <c r="A429" s="1"/>
      <c r="B429" s="1"/>
      <c r="C429" s="1"/>
      <c r="D429" s="4"/>
      <c r="S429" s="6"/>
      <c r="T429" s="6"/>
      <c r="U429" s="6"/>
      <c r="V429" s="6"/>
      <c r="W429" s="6"/>
      <c r="X429" s="6"/>
    </row>
    <row r="430">
      <c r="A430" s="1"/>
      <c r="B430" s="1"/>
      <c r="C430" s="1"/>
      <c r="D430" s="4"/>
      <c r="S430" s="6"/>
      <c r="T430" s="6"/>
      <c r="U430" s="6"/>
      <c r="V430" s="6"/>
      <c r="W430" s="6"/>
      <c r="X430" s="6"/>
    </row>
    <row r="431">
      <c r="A431" s="1"/>
      <c r="B431" s="1"/>
      <c r="C431" s="1"/>
      <c r="D431" s="4"/>
      <c r="S431" s="6"/>
      <c r="T431" s="6"/>
      <c r="U431" s="6"/>
      <c r="V431" s="6"/>
      <c r="W431" s="6"/>
      <c r="X431" s="6"/>
    </row>
    <row r="432">
      <c r="A432" s="1"/>
      <c r="B432" s="1"/>
      <c r="C432" s="1"/>
      <c r="D432" s="4"/>
      <c r="S432" s="6"/>
      <c r="T432" s="6"/>
      <c r="U432" s="6"/>
      <c r="V432" s="6"/>
      <c r="W432" s="6"/>
      <c r="X432" s="6"/>
    </row>
    <row r="433">
      <c r="A433" s="1"/>
      <c r="B433" s="1"/>
      <c r="C433" s="1"/>
      <c r="D433" s="4"/>
      <c r="S433" s="6"/>
      <c r="T433" s="6"/>
      <c r="U433" s="6"/>
      <c r="V433" s="6"/>
      <c r="W433" s="6"/>
      <c r="X433" s="6"/>
    </row>
    <row r="434">
      <c r="A434" s="1"/>
      <c r="B434" s="1"/>
      <c r="C434" s="1"/>
      <c r="D434" s="4"/>
      <c r="S434" s="6"/>
      <c r="T434" s="6"/>
      <c r="U434" s="6"/>
      <c r="V434" s="6"/>
      <c r="W434" s="6"/>
      <c r="X434" s="6"/>
    </row>
    <row r="435">
      <c r="A435" s="1"/>
      <c r="B435" s="1"/>
      <c r="C435" s="1"/>
      <c r="D435" s="4"/>
      <c r="S435" s="6"/>
      <c r="T435" s="6"/>
      <c r="U435" s="6"/>
      <c r="V435" s="6"/>
      <c r="W435" s="6"/>
      <c r="X435" s="6"/>
    </row>
    <row r="436">
      <c r="A436" s="1"/>
      <c r="B436" s="1"/>
      <c r="C436" s="1"/>
      <c r="D436" s="4"/>
      <c r="S436" s="6"/>
      <c r="T436" s="6"/>
      <c r="U436" s="6"/>
      <c r="V436" s="6"/>
      <c r="W436" s="6"/>
      <c r="X436" s="6"/>
    </row>
    <row r="437">
      <c r="A437" s="1"/>
      <c r="B437" s="1"/>
      <c r="C437" s="1"/>
      <c r="D437" s="4"/>
      <c r="S437" s="6"/>
      <c r="T437" s="6"/>
      <c r="U437" s="6"/>
      <c r="V437" s="6"/>
      <c r="W437" s="6"/>
      <c r="X437" s="6"/>
    </row>
    <row r="438">
      <c r="A438" s="1"/>
      <c r="B438" s="1"/>
      <c r="C438" s="1"/>
      <c r="D438" s="4"/>
      <c r="S438" s="6"/>
      <c r="T438" s="6"/>
      <c r="U438" s="6"/>
      <c r="V438" s="6"/>
      <c r="W438" s="6"/>
      <c r="X438" s="6"/>
    </row>
    <row r="439">
      <c r="A439" s="1"/>
      <c r="B439" s="1"/>
      <c r="C439" s="1"/>
      <c r="D439" s="4"/>
      <c r="S439" s="6"/>
      <c r="T439" s="6"/>
      <c r="U439" s="6"/>
      <c r="V439" s="6"/>
      <c r="W439" s="6"/>
      <c r="X439" s="6"/>
    </row>
    <row r="440">
      <c r="A440" s="1"/>
      <c r="B440" s="1"/>
      <c r="C440" s="1"/>
      <c r="D440" s="4"/>
      <c r="S440" s="6"/>
      <c r="T440" s="6"/>
      <c r="U440" s="6"/>
      <c r="V440" s="6"/>
      <c r="W440" s="6"/>
      <c r="X440" s="6"/>
    </row>
    <row r="441">
      <c r="A441" s="1"/>
      <c r="B441" s="1"/>
      <c r="C441" s="1"/>
      <c r="D441" s="4"/>
      <c r="S441" s="6"/>
      <c r="T441" s="6"/>
      <c r="U441" s="6"/>
      <c r="V441" s="6"/>
      <c r="W441" s="6"/>
      <c r="X441" s="6"/>
    </row>
    <row r="442">
      <c r="A442" s="1"/>
      <c r="B442" s="1"/>
      <c r="C442" s="1"/>
      <c r="D442" s="4"/>
      <c r="S442" s="6"/>
      <c r="T442" s="6"/>
      <c r="U442" s="6"/>
      <c r="V442" s="6"/>
      <c r="W442" s="6"/>
      <c r="X442" s="6"/>
    </row>
    <row r="443">
      <c r="A443" s="1"/>
      <c r="B443" s="1"/>
      <c r="C443" s="1"/>
      <c r="D443" s="4"/>
      <c r="S443" s="6"/>
      <c r="T443" s="6"/>
      <c r="U443" s="6"/>
      <c r="V443" s="6"/>
      <c r="W443" s="6"/>
      <c r="X443" s="6"/>
    </row>
    <row r="444">
      <c r="A444" s="1"/>
      <c r="B444" s="1"/>
      <c r="C444" s="1"/>
      <c r="D444" s="4"/>
      <c r="S444" s="6"/>
      <c r="T444" s="6"/>
      <c r="U444" s="6"/>
      <c r="V444" s="6"/>
      <c r="W444" s="6"/>
      <c r="X444" s="6"/>
    </row>
    <row r="445">
      <c r="A445" s="1"/>
      <c r="B445" s="1"/>
      <c r="C445" s="1"/>
      <c r="D445" s="4"/>
      <c r="S445" s="6"/>
      <c r="T445" s="6"/>
      <c r="U445" s="6"/>
      <c r="V445" s="6"/>
      <c r="W445" s="6"/>
      <c r="X445" s="6"/>
    </row>
    <row r="446">
      <c r="A446" s="1"/>
      <c r="B446" s="1"/>
      <c r="C446" s="1"/>
      <c r="D446" s="4"/>
      <c r="S446" s="6"/>
      <c r="T446" s="6"/>
      <c r="U446" s="6"/>
      <c r="V446" s="6"/>
      <c r="W446" s="6"/>
      <c r="X446" s="6"/>
    </row>
    <row r="447">
      <c r="A447" s="1"/>
      <c r="B447" s="1"/>
      <c r="C447" s="1"/>
      <c r="D447" s="4"/>
      <c r="S447" s="6"/>
      <c r="T447" s="6"/>
      <c r="U447" s="6"/>
      <c r="V447" s="6"/>
      <c r="W447" s="6"/>
      <c r="X447" s="6"/>
    </row>
    <row r="448">
      <c r="A448" s="1"/>
      <c r="B448" s="1"/>
      <c r="C448" s="1"/>
      <c r="D448" s="4"/>
      <c r="S448" s="6"/>
      <c r="T448" s="6"/>
      <c r="U448" s="6"/>
      <c r="V448" s="6"/>
      <c r="W448" s="6"/>
      <c r="X448" s="6"/>
    </row>
    <row r="449">
      <c r="A449" s="1"/>
      <c r="B449" s="1"/>
      <c r="C449" s="1"/>
      <c r="D449" s="4"/>
      <c r="S449" s="6"/>
      <c r="T449" s="6"/>
      <c r="U449" s="6"/>
      <c r="V449" s="6"/>
      <c r="W449" s="6"/>
      <c r="X449" s="6"/>
    </row>
    <row r="450">
      <c r="A450" s="1"/>
      <c r="B450" s="1"/>
      <c r="C450" s="1"/>
      <c r="D450" s="4"/>
      <c r="S450" s="6"/>
      <c r="T450" s="6"/>
      <c r="U450" s="6"/>
      <c r="V450" s="6"/>
      <c r="W450" s="6"/>
      <c r="X450" s="6"/>
    </row>
    <row r="451">
      <c r="A451" s="1"/>
      <c r="B451" s="1"/>
      <c r="C451" s="1"/>
      <c r="D451" s="4"/>
      <c r="S451" s="6"/>
      <c r="T451" s="6"/>
      <c r="U451" s="6"/>
      <c r="V451" s="6"/>
      <c r="W451" s="6"/>
      <c r="X451" s="6"/>
    </row>
    <row r="452">
      <c r="A452" s="1"/>
      <c r="B452" s="1"/>
      <c r="C452" s="1"/>
      <c r="D452" s="4"/>
      <c r="S452" s="6"/>
      <c r="T452" s="6"/>
      <c r="U452" s="6"/>
      <c r="V452" s="6"/>
      <c r="W452" s="6"/>
      <c r="X452" s="6"/>
    </row>
    <row r="453">
      <c r="A453" s="1"/>
      <c r="B453" s="1"/>
      <c r="C453" s="1"/>
      <c r="D453" s="4"/>
      <c r="S453" s="6"/>
      <c r="T453" s="6"/>
      <c r="U453" s="6"/>
      <c r="V453" s="6"/>
      <c r="W453" s="6"/>
      <c r="X453" s="6"/>
    </row>
    <row r="454">
      <c r="A454" s="1"/>
      <c r="B454" s="1"/>
      <c r="C454" s="1"/>
      <c r="D454" s="4"/>
      <c r="S454" s="6"/>
      <c r="T454" s="6"/>
      <c r="U454" s="6"/>
      <c r="V454" s="6"/>
      <c r="W454" s="6"/>
      <c r="X454" s="6"/>
    </row>
    <row r="455">
      <c r="A455" s="1"/>
      <c r="B455" s="1"/>
      <c r="C455" s="1"/>
      <c r="D455" s="4"/>
      <c r="S455" s="6"/>
      <c r="T455" s="6"/>
      <c r="U455" s="6"/>
      <c r="V455" s="6"/>
      <c r="W455" s="6"/>
      <c r="X455" s="6"/>
    </row>
    <row r="456">
      <c r="A456" s="1"/>
      <c r="B456" s="1"/>
      <c r="C456" s="1"/>
      <c r="D456" s="4"/>
      <c r="S456" s="6"/>
      <c r="T456" s="6"/>
      <c r="U456" s="6"/>
      <c r="V456" s="6"/>
      <c r="W456" s="6"/>
      <c r="X456" s="6"/>
    </row>
    <row r="457">
      <c r="A457" s="1"/>
      <c r="B457" s="1"/>
      <c r="C457" s="1"/>
      <c r="D457" s="4"/>
      <c r="S457" s="6"/>
      <c r="T457" s="6"/>
      <c r="U457" s="6"/>
      <c r="V457" s="6"/>
      <c r="W457" s="6"/>
      <c r="X457" s="6"/>
    </row>
    <row r="458">
      <c r="A458" s="1"/>
      <c r="B458" s="1"/>
      <c r="C458" s="1"/>
      <c r="D458" s="4"/>
      <c r="S458" s="6"/>
      <c r="T458" s="6"/>
      <c r="U458" s="6"/>
      <c r="V458" s="6"/>
      <c r="W458" s="6"/>
      <c r="X458" s="6"/>
    </row>
    <row r="459">
      <c r="A459" s="1"/>
      <c r="B459" s="1"/>
      <c r="C459" s="1"/>
      <c r="D459" s="4"/>
      <c r="S459" s="6"/>
      <c r="T459" s="6"/>
      <c r="U459" s="6"/>
      <c r="V459" s="6"/>
      <c r="W459" s="6"/>
      <c r="X459" s="6"/>
    </row>
    <row r="460">
      <c r="A460" s="1"/>
      <c r="B460" s="1"/>
      <c r="C460" s="1"/>
      <c r="D460" s="4"/>
      <c r="S460" s="6"/>
      <c r="T460" s="6"/>
      <c r="U460" s="6"/>
      <c r="V460" s="6"/>
      <c r="W460" s="6"/>
      <c r="X460" s="6"/>
    </row>
    <row r="461">
      <c r="A461" s="1"/>
      <c r="B461" s="1"/>
      <c r="C461" s="1"/>
      <c r="D461" s="4"/>
      <c r="S461" s="6"/>
      <c r="T461" s="6"/>
      <c r="U461" s="6"/>
      <c r="V461" s="6"/>
      <c r="W461" s="6"/>
      <c r="X461" s="6"/>
    </row>
    <row r="462">
      <c r="A462" s="1"/>
      <c r="B462" s="1"/>
      <c r="C462" s="1"/>
      <c r="D462" s="4"/>
      <c r="S462" s="6"/>
      <c r="T462" s="6"/>
      <c r="U462" s="6"/>
      <c r="V462" s="6"/>
      <c r="W462" s="6"/>
      <c r="X462" s="6"/>
    </row>
    <row r="463">
      <c r="A463" s="1"/>
      <c r="B463" s="1"/>
      <c r="C463" s="1"/>
      <c r="D463" s="4"/>
      <c r="S463" s="6"/>
      <c r="T463" s="6"/>
      <c r="U463" s="6"/>
      <c r="V463" s="6"/>
      <c r="W463" s="6"/>
      <c r="X463" s="6"/>
    </row>
    <row r="464">
      <c r="A464" s="1"/>
      <c r="B464" s="1"/>
      <c r="C464" s="1"/>
      <c r="D464" s="4"/>
      <c r="S464" s="6"/>
      <c r="T464" s="6"/>
      <c r="U464" s="6"/>
      <c r="V464" s="6"/>
      <c r="W464" s="6"/>
      <c r="X464" s="6"/>
    </row>
    <row r="465">
      <c r="A465" s="1"/>
      <c r="B465" s="1"/>
      <c r="C465" s="1"/>
      <c r="D465" s="4"/>
      <c r="S465" s="6"/>
      <c r="T465" s="6"/>
      <c r="U465" s="6"/>
      <c r="V465" s="6"/>
      <c r="W465" s="6"/>
      <c r="X465" s="6"/>
    </row>
    <row r="466">
      <c r="A466" s="1"/>
      <c r="B466" s="1"/>
      <c r="C466" s="1"/>
      <c r="D466" s="4"/>
      <c r="S466" s="6"/>
      <c r="T466" s="6"/>
      <c r="U466" s="6"/>
      <c r="V466" s="6"/>
      <c r="W466" s="6"/>
      <c r="X466" s="6"/>
    </row>
    <row r="467">
      <c r="A467" s="1"/>
      <c r="B467" s="1"/>
      <c r="C467" s="1"/>
      <c r="D467" s="4"/>
      <c r="S467" s="6"/>
      <c r="T467" s="6"/>
      <c r="U467" s="6"/>
      <c r="V467" s="6"/>
      <c r="W467" s="6"/>
      <c r="X467" s="6"/>
    </row>
    <row r="468">
      <c r="A468" s="1"/>
      <c r="B468" s="1"/>
      <c r="C468" s="1"/>
      <c r="D468" s="4"/>
      <c r="S468" s="6"/>
      <c r="T468" s="6"/>
      <c r="U468" s="6"/>
      <c r="V468" s="6"/>
      <c r="W468" s="6"/>
      <c r="X468" s="6"/>
    </row>
    <row r="469">
      <c r="A469" s="1"/>
      <c r="B469" s="1"/>
      <c r="C469" s="1"/>
      <c r="D469" s="4"/>
      <c r="S469" s="6"/>
      <c r="T469" s="6"/>
      <c r="U469" s="6"/>
      <c r="V469" s="6"/>
      <c r="W469" s="6"/>
      <c r="X469" s="6"/>
    </row>
    <row r="470">
      <c r="A470" s="1"/>
      <c r="B470" s="1"/>
      <c r="C470" s="1"/>
      <c r="D470" s="4"/>
      <c r="S470" s="6"/>
      <c r="T470" s="6"/>
      <c r="U470" s="6"/>
      <c r="V470" s="6"/>
      <c r="W470" s="6"/>
      <c r="X470" s="6"/>
    </row>
    <row r="471">
      <c r="A471" s="1"/>
      <c r="B471" s="1"/>
      <c r="C471" s="1"/>
      <c r="D471" s="4"/>
      <c r="S471" s="6"/>
      <c r="T471" s="6"/>
      <c r="U471" s="6"/>
      <c r="V471" s="6"/>
      <c r="W471" s="6"/>
      <c r="X471" s="6"/>
    </row>
    <row r="472">
      <c r="A472" s="1"/>
      <c r="B472" s="1"/>
      <c r="C472" s="1"/>
      <c r="D472" s="4"/>
      <c r="S472" s="6"/>
      <c r="T472" s="6"/>
      <c r="U472" s="6"/>
      <c r="V472" s="6"/>
      <c r="W472" s="6"/>
      <c r="X472" s="6"/>
    </row>
    <row r="473">
      <c r="A473" s="1"/>
      <c r="B473" s="1"/>
      <c r="C473" s="1"/>
      <c r="D473" s="4"/>
      <c r="S473" s="6"/>
      <c r="T473" s="6"/>
      <c r="U473" s="6"/>
      <c r="V473" s="6"/>
      <c r="W473" s="6"/>
      <c r="X473" s="6"/>
    </row>
    <row r="474">
      <c r="A474" s="1"/>
      <c r="B474" s="1"/>
      <c r="C474" s="1"/>
      <c r="D474" s="4"/>
      <c r="S474" s="6"/>
      <c r="T474" s="6"/>
      <c r="U474" s="6"/>
      <c r="V474" s="6"/>
      <c r="W474" s="6"/>
      <c r="X474" s="6"/>
    </row>
    <row r="475">
      <c r="A475" s="1"/>
      <c r="B475" s="1"/>
      <c r="C475" s="1"/>
      <c r="D475" s="4"/>
      <c r="S475" s="6"/>
      <c r="T475" s="6"/>
      <c r="U475" s="6"/>
      <c r="V475" s="6"/>
      <c r="W475" s="6"/>
      <c r="X475" s="6"/>
    </row>
    <row r="476">
      <c r="A476" s="1"/>
      <c r="B476" s="1"/>
      <c r="C476" s="1"/>
      <c r="D476" s="4"/>
      <c r="S476" s="6"/>
      <c r="T476" s="6"/>
      <c r="U476" s="6"/>
      <c r="V476" s="6"/>
      <c r="W476" s="6"/>
      <c r="X476" s="6"/>
    </row>
    <row r="477">
      <c r="A477" s="1"/>
      <c r="B477" s="1"/>
      <c r="C477" s="1"/>
      <c r="D477" s="4"/>
      <c r="S477" s="6"/>
      <c r="T477" s="6"/>
      <c r="U477" s="6"/>
      <c r="V477" s="6"/>
      <c r="W477" s="6"/>
      <c r="X477" s="6"/>
    </row>
    <row r="478">
      <c r="A478" s="1"/>
      <c r="B478" s="1"/>
      <c r="C478" s="1"/>
      <c r="D478" s="4"/>
      <c r="S478" s="6"/>
      <c r="T478" s="6"/>
      <c r="U478" s="6"/>
      <c r="V478" s="6"/>
      <c r="W478" s="6"/>
      <c r="X478" s="6"/>
    </row>
    <row r="479">
      <c r="A479" s="1"/>
      <c r="B479" s="1"/>
      <c r="C479" s="1"/>
      <c r="D479" s="4"/>
      <c r="S479" s="6"/>
      <c r="T479" s="6"/>
      <c r="U479" s="6"/>
      <c r="V479" s="6"/>
      <c r="W479" s="6"/>
      <c r="X479" s="6"/>
    </row>
    <row r="480">
      <c r="A480" s="1"/>
      <c r="B480" s="1"/>
      <c r="C480" s="1"/>
      <c r="D480" s="4"/>
      <c r="S480" s="6"/>
      <c r="T480" s="6"/>
      <c r="U480" s="6"/>
      <c r="V480" s="6"/>
      <c r="W480" s="6"/>
      <c r="X480" s="6"/>
    </row>
    <row r="481">
      <c r="A481" s="1"/>
      <c r="B481" s="1"/>
      <c r="C481" s="1"/>
      <c r="D481" s="4"/>
      <c r="S481" s="6"/>
      <c r="T481" s="6"/>
      <c r="U481" s="6"/>
      <c r="V481" s="6"/>
      <c r="W481" s="6"/>
      <c r="X481" s="6"/>
    </row>
    <row r="482">
      <c r="A482" s="1"/>
      <c r="B482" s="1"/>
      <c r="C482" s="1"/>
      <c r="D482" s="4"/>
      <c r="S482" s="6"/>
      <c r="T482" s="6"/>
      <c r="U482" s="6"/>
      <c r="V482" s="6"/>
      <c r="W482" s="6"/>
      <c r="X482" s="6"/>
    </row>
    <row r="483">
      <c r="A483" s="1"/>
      <c r="B483" s="1"/>
      <c r="C483" s="1"/>
      <c r="D483" s="4"/>
      <c r="S483" s="6"/>
      <c r="T483" s="6"/>
      <c r="U483" s="6"/>
      <c r="V483" s="6"/>
      <c r="W483" s="6"/>
      <c r="X483" s="6"/>
    </row>
    <row r="484">
      <c r="A484" s="1"/>
      <c r="B484" s="1"/>
      <c r="C484" s="1"/>
      <c r="D484" s="4"/>
      <c r="S484" s="6"/>
      <c r="T484" s="6"/>
      <c r="U484" s="6"/>
      <c r="V484" s="6"/>
      <c r="W484" s="6"/>
      <c r="X484" s="6"/>
    </row>
    <row r="485">
      <c r="A485" s="1"/>
      <c r="B485" s="1"/>
      <c r="C485" s="1"/>
      <c r="D485" s="4"/>
      <c r="S485" s="6"/>
      <c r="T485" s="6"/>
      <c r="U485" s="6"/>
      <c r="V485" s="6"/>
      <c r="W485" s="6"/>
      <c r="X485" s="6"/>
    </row>
    <row r="486">
      <c r="A486" s="1"/>
      <c r="B486" s="1"/>
      <c r="C486" s="1"/>
      <c r="D486" s="4"/>
      <c r="S486" s="6"/>
      <c r="T486" s="6"/>
      <c r="U486" s="6"/>
      <c r="V486" s="6"/>
      <c r="W486" s="6"/>
      <c r="X486" s="6"/>
    </row>
    <row r="487">
      <c r="A487" s="1"/>
      <c r="B487" s="1"/>
      <c r="C487" s="1"/>
      <c r="D487" s="4"/>
      <c r="S487" s="6"/>
      <c r="T487" s="6"/>
      <c r="U487" s="6"/>
      <c r="V487" s="6"/>
      <c r="W487" s="6"/>
      <c r="X487" s="6"/>
    </row>
    <row r="488">
      <c r="A488" s="1"/>
      <c r="B488" s="1"/>
      <c r="C488" s="1"/>
      <c r="D488" s="4"/>
      <c r="S488" s="6"/>
      <c r="T488" s="6"/>
      <c r="U488" s="6"/>
      <c r="V488" s="6"/>
      <c r="W488" s="6"/>
      <c r="X488" s="6"/>
    </row>
    <row r="489">
      <c r="A489" s="1"/>
      <c r="B489" s="1"/>
      <c r="C489" s="1"/>
      <c r="D489" s="4"/>
      <c r="S489" s="6"/>
      <c r="T489" s="6"/>
      <c r="U489" s="6"/>
      <c r="V489" s="6"/>
      <c r="W489" s="6"/>
      <c r="X489" s="6"/>
    </row>
    <row r="490">
      <c r="A490" s="1"/>
      <c r="B490" s="1"/>
      <c r="C490" s="1"/>
      <c r="D490" s="4"/>
      <c r="S490" s="6"/>
      <c r="T490" s="6"/>
      <c r="U490" s="6"/>
      <c r="V490" s="6"/>
      <c r="W490" s="6"/>
      <c r="X490" s="6"/>
    </row>
    <row r="491">
      <c r="A491" s="1"/>
      <c r="B491" s="1"/>
      <c r="C491" s="1"/>
      <c r="D491" s="4"/>
      <c r="S491" s="6"/>
      <c r="T491" s="6"/>
      <c r="U491" s="6"/>
      <c r="V491" s="6"/>
      <c r="W491" s="6"/>
      <c r="X491" s="6"/>
    </row>
    <row r="492">
      <c r="A492" s="1"/>
      <c r="B492" s="1"/>
      <c r="C492" s="1"/>
      <c r="D492" s="4"/>
      <c r="S492" s="6"/>
      <c r="T492" s="6"/>
      <c r="U492" s="6"/>
      <c r="V492" s="6"/>
      <c r="W492" s="6"/>
      <c r="X492" s="6"/>
    </row>
    <row r="493">
      <c r="A493" s="1"/>
      <c r="B493" s="1"/>
      <c r="C493" s="1"/>
      <c r="D493" s="4"/>
      <c r="S493" s="6"/>
      <c r="T493" s="6"/>
      <c r="U493" s="6"/>
      <c r="V493" s="6"/>
      <c r="W493" s="6"/>
      <c r="X493" s="6"/>
    </row>
    <row r="494">
      <c r="A494" s="1"/>
      <c r="B494" s="1"/>
      <c r="C494" s="1"/>
      <c r="D494" s="4"/>
      <c r="S494" s="6"/>
      <c r="T494" s="6"/>
      <c r="U494" s="6"/>
      <c r="V494" s="6"/>
      <c r="W494" s="6"/>
      <c r="X494" s="6"/>
    </row>
    <row r="495">
      <c r="A495" s="1"/>
      <c r="B495" s="1"/>
      <c r="C495" s="1"/>
      <c r="D495" s="4"/>
      <c r="S495" s="6"/>
      <c r="T495" s="6"/>
      <c r="U495" s="6"/>
      <c r="V495" s="6"/>
      <c r="W495" s="6"/>
      <c r="X495" s="6"/>
    </row>
    <row r="496">
      <c r="A496" s="1"/>
      <c r="B496" s="1"/>
      <c r="C496" s="1"/>
      <c r="D496" s="4"/>
      <c r="S496" s="6"/>
      <c r="T496" s="6"/>
      <c r="U496" s="6"/>
      <c r="V496" s="6"/>
      <c r="W496" s="6"/>
      <c r="X496" s="6"/>
    </row>
    <row r="497">
      <c r="A497" s="1"/>
      <c r="B497" s="1"/>
      <c r="C497" s="1"/>
      <c r="D497" s="4"/>
      <c r="S497" s="6"/>
      <c r="T497" s="6"/>
      <c r="U497" s="6"/>
      <c r="V497" s="6"/>
      <c r="W497" s="6"/>
      <c r="X497" s="6"/>
    </row>
    <row r="498">
      <c r="A498" s="1"/>
      <c r="B498" s="1"/>
      <c r="C498" s="1"/>
      <c r="D498" s="4"/>
      <c r="S498" s="6"/>
      <c r="T498" s="6"/>
      <c r="U498" s="6"/>
      <c r="V498" s="6"/>
      <c r="W498" s="6"/>
      <c r="X498" s="6"/>
    </row>
    <row r="499">
      <c r="A499" s="1"/>
      <c r="B499" s="1"/>
      <c r="C499" s="1"/>
      <c r="D499" s="4"/>
      <c r="S499" s="6"/>
      <c r="T499" s="6"/>
      <c r="U499" s="6"/>
      <c r="V499" s="6"/>
      <c r="W499" s="6"/>
      <c r="X499" s="6"/>
    </row>
    <row r="500">
      <c r="A500" s="1"/>
      <c r="B500" s="1"/>
      <c r="C500" s="1"/>
      <c r="D500" s="4"/>
      <c r="S500" s="6"/>
      <c r="T500" s="6"/>
      <c r="U500" s="6"/>
      <c r="V500" s="6"/>
      <c r="W500" s="6"/>
      <c r="X5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6.14"/>
    <col customWidth="1" min="5" max="5" width="18.86"/>
    <col customWidth="1" min="6" max="10" width="16.43"/>
    <col customWidth="1" min="13" max="13" width="19.14"/>
    <col customWidth="1" min="14" max="14" width="21.43"/>
    <col customWidth="1" min="21" max="24" width="19.86"/>
  </cols>
  <sheetData>
    <row r="1">
      <c r="A1" s="1" t="str">
        <f>IFERROR(__xludf.DUMMYFUNCTION("IMPORTRANGE(""https://docs.google.com/spreadsheets/d/1m6ruGCrUwvj4NpjaIH4qJVp4yLd_xXZlVIWo900XkX8"",""Current Project Status!B:B"")
"),"Project #")</f>
        <v>Project #</v>
      </c>
      <c r="B1" s="1" t="str">
        <f>IFERROR(__xludf.DUMMYFUNCTION("IMPORTRANGE(""https://docs.google.com/spreadsheets/d/1m6ruGCrUwvj4NpjaIH4qJVp4yLd_xXZlVIWo900XkX8"",""Current Project Status!C:C"")
"),"Project")</f>
        <v>Project</v>
      </c>
      <c r="C1" s="1" t="str">
        <f>IFERROR(__xludf.DUMMYFUNCTION("IMPORTRANGE(""https://docs.google.com/spreadsheets/d/1m6ruGCrUwvj4NpjaIH4qJVp4yLd_xXZlVIWo900XkX8"",""Current Project Status!D:D"")
"),"Status")</f>
        <v>Status</v>
      </c>
      <c r="D1" s="1" t="str">
        <f>IFERROR(__xludf.DUMMYFUNCTION("IMPORTRANGE(""https://docs.google.com/spreadsheets/d/1m6ruGCrUwvj4NpjaIH4qJVp4yLd_xXZlVIWo900XkX8"",""Current Project Status!E:E"")
"),"Internal ID")</f>
        <v>Internal ID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>
      <c r="A2" s="1" t="str">
        <f>IFERROR(__xludf.DUMMYFUNCTION("""COMPUTED_VALUE"""),"2512-559")</f>
        <v>2512-559</v>
      </c>
      <c r="B2" s="1" t="str">
        <f>IFERROR(__xludf.DUMMYFUNCTION("""COMPUTED_VALUE"""),"Ogburn SanBern New SFD and ADU Plans Description")</f>
        <v>Ogburn SanBern New SFD and ADU Plans Description</v>
      </c>
      <c r="C2" s="1" t="str">
        <f>IFERROR(__xludf.DUMMYFUNCTION("""COMPUTED_VALUE"""),"A003 Preliminary Design (Schematic Design)")</f>
        <v>A003 Preliminary Design (Schematic Design)</v>
      </c>
      <c r="D2" s="4">
        <f>IFERROR(__xludf.DUMMYFUNCTION("""COMPUTED_VALUE"""),1309173.0)</f>
        <v>1309173</v>
      </c>
      <c r="E2" s="2" t="s">
        <v>20</v>
      </c>
      <c r="F2" s="2" t="s">
        <v>21</v>
      </c>
      <c r="J2" s="2" t="s">
        <v>22</v>
      </c>
      <c r="K2" s="2" t="s">
        <v>23</v>
      </c>
      <c r="L2" s="2" t="s">
        <v>23</v>
      </c>
      <c r="M2" s="2" t="s">
        <v>55</v>
      </c>
      <c r="N2" s="5" t="s">
        <v>37</v>
      </c>
      <c r="O2" s="5" t="s">
        <v>24</v>
      </c>
      <c r="P2" s="2" t="e">
        <v>#ERROR!</v>
      </c>
      <c r="S2" s="3">
        <v>46006.39328027778</v>
      </c>
      <c r="T2" s="6"/>
      <c r="U2" s="6"/>
      <c r="V2" s="6"/>
      <c r="W2" s="6"/>
      <c r="X2" s="3">
        <v>46006.374631053244</v>
      </c>
    </row>
    <row r="3">
      <c r="A3" s="1" t="str">
        <f>IFERROR(__xludf.DUMMYFUNCTION("""COMPUTED_VALUE"""),"2512-558")</f>
        <v>2512-558</v>
      </c>
      <c r="B3" s="1" t="str">
        <f>IFERROR(__xludf.DUMMYFUNCTION("""COMPUTED_VALUE"""),"Carreon San Pedro Wall Removal Plans")</f>
        <v>Carreon San Pedro Wall Removal Plans</v>
      </c>
      <c r="C3" s="1" t="str">
        <f>IFERROR(__xludf.DUMMYFUNCTION("""COMPUTED_VALUE"""),"A002.5 Client Kickoff Meeting")</f>
        <v>A002.5 Client Kickoff Meeting</v>
      </c>
      <c r="D3" s="4">
        <f>IFERROR(__xludf.DUMMYFUNCTION("""COMPUTED_VALUE"""),1309067.0)</f>
        <v>1309067</v>
      </c>
      <c r="E3" s="2" t="s">
        <v>20</v>
      </c>
      <c r="F3" s="2" t="s">
        <v>21</v>
      </c>
      <c r="J3" s="2" t="s">
        <v>25</v>
      </c>
      <c r="K3" s="2" t="s">
        <v>26</v>
      </c>
      <c r="L3" s="2" t="s">
        <v>50</v>
      </c>
      <c r="M3" s="5" t="s">
        <v>27</v>
      </c>
      <c r="N3" s="5" t="s">
        <v>24</v>
      </c>
      <c r="O3" s="5" t="s">
        <v>27</v>
      </c>
      <c r="S3" s="6"/>
      <c r="T3" s="6"/>
      <c r="U3" s="6"/>
      <c r="V3" s="6"/>
      <c r="W3" s="6"/>
      <c r="X3" s="3">
        <v>46006.35723364583</v>
      </c>
    </row>
    <row r="4">
      <c r="A4" s="1" t="str">
        <f>IFERROR(__xludf.DUMMYFUNCTION("""COMPUTED_VALUE"""),"2512-557")</f>
        <v>2512-557</v>
      </c>
      <c r="B4" s="1" t="str">
        <f>IFERROR(__xludf.DUMMYFUNCTION("""COMPUTED_VALUE"""),"Franco Calabasas New ADU and Retaining Wall")</f>
        <v>Franco Calabasas New ADU and Retaining Wall</v>
      </c>
      <c r="C4" s="1" t="str">
        <f>IFERROR(__xludf.DUMMYFUNCTION("""COMPUTED_VALUE"""),"A007 Plan Detailing for Submittal")</f>
        <v>A007 Plan Detailing for Submittal</v>
      </c>
      <c r="D4" s="4">
        <f>IFERROR(__xludf.DUMMYFUNCTION("""COMPUTED_VALUE"""),1307552.0)</f>
        <v>1307552</v>
      </c>
      <c r="E4" s="2" t="s">
        <v>31</v>
      </c>
      <c r="F4" s="2" t="s">
        <v>21</v>
      </c>
      <c r="J4" s="2" t="s">
        <v>25</v>
      </c>
      <c r="K4" s="2" t="s">
        <v>32</v>
      </c>
      <c r="L4" s="2" t="s">
        <v>33</v>
      </c>
      <c r="M4" s="5" t="s">
        <v>27</v>
      </c>
      <c r="N4" s="5" t="s">
        <v>24</v>
      </c>
      <c r="O4" s="5" t="s">
        <v>27</v>
      </c>
      <c r="S4" s="3">
        <v>46005.386705</v>
      </c>
      <c r="T4" s="6"/>
      <c r="U4" s="6"/>
      <c r="V4" s="6"/>
      <c r="W4" s="6"/>
      <c r="X4" s="3">
        <v>46006.366587384255</v>
      </c>
    </row>
    <row r="5">
      <c r="A5" s="1" t="str">
        <f>IFERROR(__xludf.DUMMYFUNCTION("""COMPUTED_VALUE"""),"2512-556")</f>
        <v>2512-556</v>
      </c>
      <c r="B5" s="1" t="str">
        <f>IFERROR(__xludf.DUMMYFUNCTION("""COMPUTED_VALUE"""),"Uskup")</f>
        <v>Uskup</v>
      </c>
      <c r="C5" s="1" t="str">
        <f>IFERROR(__xludf.DUMMYFUNCTION("""COMPUTED_VALUE"""),"Completed - Sent to Client")</f>
        <v>Completed - Sent to Client</v>
      </c>
      <c r="D5" s="4">
        <f>IFERROR(__xludf.DUMMYFUNCTION("""COMPUTED_VALUE"""),1304737.0)</f>
        <v>1304737</v>
      </c>
      <c r="E5" s="5" t="s">
        <v>34</v>
      </c>
      <c r="J5" s="2" t="s">
        <v>35</v>
      </c>
      <c r="K5" s="2" t="s">
        <v>26</v>
      </c>
      <c r="L5" s="2" t="s">
        <v>36</v>
      </c>
      <c r="M5" s="5" t="s">
        <v>27</v>
      </c>
      <c r="N5" s="5" t="s">
        <v>37</v>
      </c>
      <c r="O5" s="5" t="s">
        <v>37</v>
      </c>
      <c r="S5" s="6"/>
      <c r="T5" s="6"/>
      <c r="U5" s="6"/>
      <c r="V5" s="6"/>
      <c r="W5" s="6"/>
      <c r="X5" s="6"/>
    </row>
    <row r="6">
      <c r="A6" s="1" t="str">
        <f>IFERROR(__xludf.DUMMYFUNCTION("""COMPUTED_VALUE"""),"2512-555")</f>
        <v>2512-555</v>
      </c>
      <c r="B6" s="1" t="str">
        <f>IFERROR(__xludf.DUMMYFUNCTION("""COMPUTED_VALUE"""),"Sharan-SJCap-TI-Plan-Take Over")</f>
        <v>Sharan-SJCap-TI-Plan-Take Over</v>
      </c>
      <c r="C6" s="1" t="str">
        <f>IFERROR(__xludf.DUMMYFUNCTION("""COMPUTED_VALUE"""),"A001 Estimate, Proposal &amp; Project Data")</f>
        <v>A001 Estimate, Proposal &amp; Project Data</v>
      </c>
      <c r="D6" s="4">
        <f>IFERROR(__xludf.DUMMYFUNCTION("""COMPUTED_VALUE"""),1299890.0)</f>
        <v>1299890</v>
      </c>
      <c r="E6" s="2" t="s">
        <v>38</v>
      </c>
      <c r="F6" s="2" t="s">
        <v>21</v>
      </c>
      <c r="J6" s="2" t="s">
        <v>22</v>
      </c>
      <c r="K6" s="2" t="s">
        <v>39</v>
      </c>
      <c r="L6" s="2" t="s">
        <v>40</v>
      </c>
      <c r="M6" s="2" t="s">
        <v>27</v>
      </c>
      <c r="N6" s="5" t="s">
        <v>27</v>
      </c>
      <c r="O6" s="5" t="s">
        <v>24</v>
      </c>
      <c r="S6" s="3">
        <v>46006.39312677083</v>
      </c>
      <c r="T6" s="6"/>
      <c r="U6" s="6"/>
      <c r="V6" s="6"/>
      <c r="W6" s="6"/>
      <c r="X6" s="3">
        <v>46006.375863078705</v>
      </c>
    </row>
    <row r="7">
      <c r="A7" s="1" t="str">
        <f>IFERROR(__xludf.DUMMYFUNCTION("""COMPUTED_VALUE"""),"2512-554")</f>
        <v>2512-554</v>
      </c>
      <c r="B7" s="1" t="str">
        <f>IFERROR(__xludf.DUMMYFUNCTION("""COMPUTED_VALUE"""),"Tomlinson-Long-Beach-Stair-Plans")</f>
        <v>Tomlinson-Long-Beach-Stair-Plans</v>
      </c>
      <c r="C7" s="1" t="str">
        <f>IFERROR(__xludf.DUMMYFUNCTION("""COMPUTED_VALUE"""),"A002 - Existing Conditions")</f>
        <v>A002 - Existing Conditions</v>
      </c>
      <c r="D7" s="4">
        <f>IFERROR(__xludf.DUMMYFUNCTION("""COMPUTED_VALUE"""),1299780.0)</f>
        <v>1299780</v>
      </c>
      <c r="E7" s="5" t="s">
        <v>20</v>
      </c>
      <c r="F7" s="2"/>
      <c r="H7" s="2" t="s">
        <v>41</v>
      </c>
      <c r="I7" s="2"/>
      <c r="J7" s="2" t="s">
        <v>42</v>
      </c>
      <c r="K7" s="2" t="s">
        <v>43</v>
      </c>
      <c r="L7" s="2" t="s">
        <v>25</v>
      </c>
      <c r="M7" s="5" t="s">
        <v>37</v>
      </c>
      <c r="N7" s="5" t="s">
        <v>37</v>
      </c>
      <c r="O7" s="5" t="s">
        <v>44</v>
      </c>
      <c r="S7" s="3">
        <v>46005.03672361111</v>
      </c>
      <c r="T7" s="6"/>
      <c r="U7" s="6"/>
      <c r="V7" s="3">
        <v>46006.21567311343</v>
      </c>
      <c r="W7" s="3">
        <v>46005.30112310185</v>
      </c>
      <c r="X7" s="6"/>
    </row>
    <row r="8">
      <c r="A8" s="1" t="str">
        <f>IFERROR(__xludf.DUMMYFUNCTION("""COMPUTED_VALUE"""),"2511-553")</f>
        <v>2511-553</v>
      </c>
      <c r="B8" s="1" t="str">
        <f>IFERROR(__xludf.DUMMYFUNCTION("""COMPUTED_VALUE"""),"EKIM-El-Cajon-Multi-Family-As-Builts")</f>
        <v>EKIM-El-Cajon-Multi-Family-As-Builts</v>
      </c>
      <c r="C8" s="1" t="str">
        <f>IFERROR(__xludf.DUMMYFUNCTION("""COMPUTED_VALUE"""),"A002 - Existing Conditions")</f>
        <v>A002 - Existing Conditions</v>
      </c>
      <c r="D8" s="4">
        <f>IFERROR(__xludf.DUMMYFUNCTION("""COMPUTED_VALUE"""),1298627.0)</f>
        <v>1298627</v>
      </c>
      <c r="E8" s="2" t="s">
        <v>22</v>
      </c>
      <c r="F8" s="2" t="s">
        <v>21</v>
      </c>
      <c r="I8" s="2" t="s">
        <v>59</v>
      </c>
      <c r="J8" s="2" t="s">
        <v>33</v>
      </c>
      <c r="K8" s="2" t="s">
        <v>40</v>
      </c>
      <c r="L8" s="2" t="s">
        <v>35</v>
      </c>
      <c r="M8" s="5" t="s">
        <v>44</v>
      </c>
      <c r="N8" s="5" t="s">
        <v>44</v>
      </c>
      <c r="O8" s="5" t="s">
        <v>24</v>
      </c>
      <c r="R8" s="2" t="s">
        <v>46</v>
      </c>
      <c r="S8" s="3">
        <v>46004.96143210648</v>
      </c>
      <c r="T8" s="3">
        <v>46005.4198103588</v>
      </c>
      <c r="U8" s="3">
        <v>46005.033129131945</v>
      </c>
      <c r="V8" s="6"/>
      <c r="W8" s="6"/>
      <c r="X8" s="3">
        <v>46006.29630707176</v>
      </c>
    </row>
    <row r="9">
      <c r="A9" s="1" t="str">
        <f>IFERROR(__xludf.DUMMYFUNCTION("""COMPUTED_VALUE"""),"2511-552")</f>
        <v>2511-552</v>
      </c>
      <c r="B9" s="1" t="str">
        <f>IFERROR(__xludf.DUMMYFUNCTION("""COMPUTED_VALUE"""),"Scinto-Rancho-Mirage-Bedroom-Addition")</f>
        <v>Scinto-Rancho-Mirage-Bedroom-Addition</v>
      </c>
      <c r="C9" s="1" t="str">
        <f>IFERROR(__xludf.DUMMYFUNCTION("""COMPUTED_VALUE"""),"A001.5 Site Visit and Scan")</f>
        <v>A001.5 Site Visit and Scan</v>
      </c>
      <c r="D9" s="4">
        <f>IFERROR(__xludf.DUMMYFUNCTION("""COMPUTED_VALUE"""),1298566.0)</f>
        <v>1298566</v>
      </c>
      <c r="E9" s="2" t="s">
        <v>21</v>
      </c>
      <c r="J9" s="2" t="s">
        <v>25</v>
      </c>
      <c r="K9" s="2" t="s">
        <v>40</v>
      </c>
      <c r="L9" s="2" t="s">
        <v>26</v>
      </c>
      <c r="M9" s="5" t="s">
        <v>44</v>
      </c>
      <c r="N9" s="5" t="s">
        <v>24</v>
      </c>
      <c r="O9" s="5" t="s">
        <v>24</v>
      </c>
      <c r="S9" s="6"/>
      <c r="T9" s="6"/>
      <c r="U9" s="6"/>
      <c r="V9" s="6"/>
      <c r="W9" s="6"/>
      <c r="X9" s="6"/>
    </row>
    <row r="10">
      <c r="A10" s="1" t="str">
        <f>IFERROR(__xludf.DUMMYFUNCTION("""COMPUTED_VALUE"""),"2511-551")</f>
        <v>2511-551</v>
      </c>
      <c r="B10" s="1" t="str">
        <f>IFERROR(__xludf.DUMMYFUNCTION("""COMPUTED_VALUE"""),"Tucker-Oceanside-ADU-Plan-Takeover")</f>
        <v>Tucker-Oceanside-ADU-Plan-Takeover</v>
      </c>
      <c r="C10" s="1" t="str">
        <f>IFERROR(__xludf.DUMMYFUNCTION("""COMPUTED_VALUE"""),"A005 Architectural &amp; Structural (CD's)")</f>
        <v>A005 Architectural &amp; Structural (CD's)</v>
      </c>
      <c r="D10" s="4">
        <f>IFERROR(__xludf.DUMMYFUNCTION("""COMPUTED_VALUE"""),1298505.0)</f>
        <v>1298505</v>
      </c>
      <c r="E10" s="5" t="s">
        <v>20</v>
      </c>
      <c r="J10" s="2" t="s">
        <v>47</v>
      </c>
      <c r="K10" s="2" t="s">
        <v>33</v>
      </c>
      <c r="L10" s="2" t="s">
        <v>21</v>
      </c>
      <c r="M10" s="5" t="s">
        <v>24</v>
      </c>
      <c r="N10" s="5" t="s">
        <v>24</v>
      </c>
      <c r="O10" s="5" t="s">
        <v>37</v>
      </c>
      <c r="S10" s="3">
        <v>46004.96158258102</v>
      </c>
      <c r="T10" s="6"/>
      <c r="U10" s="6"/>
      <c r="V10" s="6"/>
      <c r="W10" s="6"/>
      <c r="X10" s="6"/>
    </row>
    <row r="11">
      <c r="A11" s="1" t="str">
        <f>IFERROR(__xludf.DUMMYFUNCTION("""COMPUTED_VALUE"""),"2511-550")</f>
        <v>2511-550</v>
      </c>
      <c r="B11" s="1" t="str">
        <f>IFERROR(__xludf.DUMMYFUNCTION("""COMPUTED_VALUE"""),"Tataurova-Spring-Valley-SB9-GADU-Plans")</f>
        <v>Tataurova-Spring-Valley-SB9-GADU-Plans</v>
      </c>
      <c r="C11" s="1" t="str">
        <f>IFERROR(__xludf.DUMMYFUNCTION("""COMPUTED_VALUE"""),"A003 Preliminary Design (Schematic Design)")</f>
        <v>A003 Preliminary Design (Schematic Design)</v>
      </c>
      <c r="D11" s="4">
        <f>IFERROR(__xludf.DUMMYFUNCTION("""COMPUTED_VALUE"""),1288335.0)</f>
        <v>1288335</v>
      </c>
      <c r="E11" s="5" t="s">
        <v>34</v>
      </c>
      <c r="J11" s="2" t="s">
        <v>40</v>
      </c>
      <c r="K11" s="2" t="s">
        <v>40</v>
      </c>
      <c r="L11" s="2" t="s">
        <v>40</v>
      </c>
      <c r="M11" s="5" t="s">
        <v>27</v>
      </c>
      <c r="N11" s="5" t="s">
        <v>48</v>
      </c>
      <c r="O11" s="5" t="s">
        <v>44</v>
      </c>
      <c r="S11" s="6"/>
      <c r="T11" s="6"/>
      <c r="U11" s="6"/>
      <c r="V11" s="6"/>
      <c r="W11" s="6"/>
      <c r="X11" s="6"/>
    </row>
    <row r="12">
      <c r="A12" s="1" t="str">
        <f>IFERROR(__xludf.DUMMYFUNCTION("""COMPUTED_VALUE"""),"2511-549")</f>
        <v>2511-549</v>
      </c>
      <c r="B12" s="1" t="str">
        <f>IFERROR(__xludf.DUMMYFUNCTION("""COMPUTED_VALUE"""),"Simon-Redondo-Beach-Existing-Sunroom")</f>
        <v>Simon-Redondo-Beach-Existing-Sunroom</v>
      </c>
      <c r="C12" s="1" t="str">
        <f>IFERROR(__xludf.DUMMYFUNCTION("""COMPUTED_VALUE"""),"A003 Preliminary Design (Schematic Design)")</f>
        <v>A003 Preliminary Design (Schematic Design)</v>
      </c>
      <c r="D12" s="4">
        <f>IFERROR(__xludf.DUMMYFUNCTION("""COMPUTED_VALUE"""),1285958.0)</f>
        <v>1285958</v>
      </c>
      <c r="E12" s="5" t="s">
        <v>34</v>
      </c>
      <c r="F12" s="2" t="s">
        <v>21</v>
      </c>
      <c r="J12" s="2" t="s">
        <v>21</v>
      </c>
      <c r="K12" s="2" t="s">
        <v>25</v>
      </c>
      <c r="L12" s="2" t="s">
        <v>40</v>
      </c>
      <c r="M12" s="5" t="s">
        <v>44</v>
      </c>
      <c r="N12" s="5" t="s">
        <v>44</v>
      </c>
      <c r="O12" s="5" t="s">
        <v>48</v>
      </c>
      <c r="S12" s="6"/>
      <c r="T12" s="6"/>
      <c r="U12" s="6"/>
      <c r="V12" s="6"/>
      <c r="W12" s="6"/>
      <c r="X12" s="3">
        <v>46006.26958917824</v>
      </c>
    </row>
    <row r="13">
      <c r="A13" s="1" t="str">
        <f>IFERROR(__xludf.DUMMYFUNCTION("""COMPUTED_VALUE"""),"2511-548")</f>
        <v>2511-548</v>
      </c>
      <c r="B13" s="1" t="str">
        <f>IFERROR(__xludf.DUMMYFUNCTION("""COMPUTED_VALUE"""),"Patel-Yorba-Linda-Addition-and-Remodel-Plans")</f>
        <v>Patel-Yorba-Linda-Addition-and-Remodel-Plans</v>
      </c>
      <c r="C13" s="1" t="str">
        <f>IFERROR(__xludf.DUMMYFUNCTION("""COMPUTED_VALUE"""),"A003.1 Client Review - Waiting on Others")</f>
        <v>A003.1 Client Review - Waiting on Others</v>
      </c>
      <c r="D13" s="4">
        <f>IFERROR(__xludf.DUMMYFUNCTION("""COMPUTED_VALUE"""),1282369.0)</f>
        <v>1282369</v>
      </c>
      <c r="E13" s="5" t="s">
        <v>20</v>
      </c>
      <c r="J13" s="2" t="s">
        <v>49</v>
      </c>
      <c r="K13" s="2" t="s">
        <v>50</v>
      </c>
      <c r="L13" s="2" t="s">
        <v>50</v>
      </c>
      <c r="M13" s="5" t="s">
        <v>37</v>
      </c>
      <c r="N13" s="5" t="s">
        <v>48</v>
      </c>
      <c r="O13" s="5" t="s">
        <v>24</v>
      </c>
      <c r="S13" s="6"/>
      <c r="T13" s="6"/>
      <c r="U13" s="6"/>
      <c r="V13" s="6"/>
      <c r="W13" s="6"/>
      <c r="X13" s="6"/>
    </row>
    <row r="14">
      <c r="A14" s="1" t="str">
        <f>IFERROR(__xludf.DUMMYFUNCTION("""COMPUTED_VALUE"""),"2511-547")</f>
        <v>2511-547</v>
      </c>
      <c r="B14" s="1" t="str">
        <f>IFERROR(__xludf.DUMMYFUNCTION("""COMPUTED_VALUE"""),"Moshe-Menifee-Garage-ADU-Plans")</f>
        <v>Moshe-Menifee-Garage-ADU-Plans</v>
      </c>
      <c r="C14" s="1" t="str">
        <f>IFERROR(__xludf.DUMMYFUNCTION("""COMPUTED_VALUE"""),"A006.3 Title 24 or MEP")</f>
        <v>A006.3 Title 24 or MEP</v>
      </c>
      <c r="D14" s="4">
        <f>IFERROR(__xludf.DUMMYFUNCTION("""COMPUTED_VALUE"""),1282368.0)</f>
        <v>1282368</v>
      </c>
      <c r="E14" s="5" t="s">
        <v>34</v>
      </c>
      <c r="J14" s="2" t="s">
        <v>23</v>
      </c>
      <c r="K14" s="2" t="s">
        <v>39</v>
      </c>
      <c r="L14" s="2" t="s">
        <v>40</v>
      </c>
      <c r="M14" s="5" t="s">
        <v>24</v>
      </c>
      <c r="N14" s="5" t="s">
        <v>48</v>
      </c>
      <c r="O14" s="5" t="s">
        <v>37</v>
      </c>
      <c r="S14" s="6"/>
      <c r="T14" s="6"/>
      <c r="U14" s="6"/>
      <c r="V14" s="3">
        <v>46006.27690304398</v>
      </c>
      <c r="W14" s="3">
        <v>46005.02490255787</v>
      </c>
      <c r="X14" s="6"/>
    </row>
    <row r="15">
      <c r="A15" s="1" t="str">
        <f>IFERROR(__xludf.DUMMYFUNCTION("""COMPUTED_VALUE"""),"2511-546")</f>
        <v>2511-546</v>
      </c>
      <c r="B15" s="1" t="str">
        <f>IFERROR(__xludf.DUMMYFUNCTION("""COMPUTED_VALUE"""),"Cheung-Whittier-ADU-Plans-Proposal")</f>
        <v>Cheung-Whittier-ADU-Plans-Proposal</v>
      </c>
      <c r="C15" s="1" t="str">
        <f>IFERROR(__xludf.DUMMYFUNCTION("""COMPUTED_VALUE"""),"A005 Architectural &amp; Structural (CD's)")</f>
        <v>A005 Architectural &amp; Structural (CD's)</v>
      </c>
      <c r="D15" s="4">
        <f>IFERROR(__xludf.DUMMYFUNCTION("""COMPUTED_VALUE"""),1282366.0)</f>
        <v>1282366</v>
      </c>
      <c r="E15" s="2" t="s">
        <v>22</v>
      </c>
      <c r="J15" s="2" t="s">
        <v>32</v>
      </c>
      <c r="K15" s="2" t="s">
        <v>47</v>
      </c>
      <c r="L15" s="2" t="s">
        <v>22</v>
      </c>
      <c r="M15" s="5" t="s">
        <v>24</v>
      </c>
      <c r="N15" s="5" t="s">
        <v>24</v>
      </c>
      <c r="O15" s="2" t="s">
        <v>24</v>
      </c>
      <c r="S15" s="6"/>
      <c r="T15" s="6"/>
      <c r="U15" s="3">
        <v>46006.38551278935</v>
      </c>
      <c r="V15" s="6"/>
      <c r="W15" s="3">
        <v>46005.024889328706</v>
      </c>
      <c r="X15" s="6"/>
    </row>
    <row r="16">
      <c r="A16" s="1" t="str">
        <f>IFERROR(__xludf.DUMMYFUNCTION("""COMPUTED_VALUE"""),"2511-545")</f>
        <v>2511-545</v>
      </c>
      <c r="B16" s="1" t="str">
        <f>IFERROR(__xludf.DUMMYFUNCTION("""COMPUTED_VALUE"""),"Espino-Murrieta-Patio-Plans")</f>
        <v>Espino-Murrieta-Patio-Plans</v>
      </c>
      <c r="C16" s="1" t="str">
        <f>IFERROR(__xludf.DUMMYFUNCTION("""COMPUTED_VALUE"""),"A007 Plan Detailing for Submittal")</f>
        <v>A007 Plan Detailing for Submittal</v>
      </c>
      <c r="D16" s="4">
        <f>IFERROR(__xludf.DUMMYFUNCTION("""COMPUTED_VALUE"""),1280705.0)</f>
        <v>1280705</v>
      </c>
      <c r="E16" s="5" t="s">
        <v>20</v>
      </c>
      <c r="J16" s="2" t="s">
        <v>22</v>
      </c>
      <c r="K16" s="2" t="s">
        <v>50</v>
      </c>
      <c r="L16" s="2" t="s">
        <v>33</v>
      </c>
      <c r="M16" s="2" t="s">
        <v>44</v>
      </c>
      <c r="N16" s="5" t="s">
        <v>48</v>
      </c>
      <c r="O16" s="5" t="s">
        <v>24</v>
      </c>
      <c r="S16" s="3">
        <v>46006.393330011575</v>
      </c>
      <c r="T16" s="6"/>
      <c r="U16" s="6"/>
      <c r="V16" s="6"/>
      <c r="W16" s="3">
        <v>46005.02493623843</v>
      </c>
      <c r="X16" s="6"/>
    </row>
    <row r="17">
      <c r="A17" s="1" t="str">
        <f>IFERROR(__xludf.DUMMYFUNCTION("""COMPUTED_VALUE"""),"2511-544")</f>
        <v>2511-544</v>
      </c>
      <c r="B17" s="1" t="str">
        <f>IFERROR(__xludf.DUMMYFUNCTION("""COMPUTED_VALUE"""),"Yang-LA-ADU-and-Bedroom-Permitting")</f>
        <v>Yang-LA-ADU-and-Bedroom-Permitting</v>
      </c>
      <c r="C17" s="1" t="str">
        <f>IFERROR(__xludf.DUMMYFUNCTION("""COMPUTED_VALUE"""),"A006.5 - Structural Engineering")</f>
        <v>A006.5 - Structural Engineering</v>
      </c>
      <c r="D17" s="4">
        <f>IFERROR(__xludf.DUMMYFUNCTION("""COMPUTED_VALUE"""),1280448.0)</f>
        <v>1280448</v>
      </c>
      <c r="E17" s="5" t="s">
        <v>34</v>
      </c>
      <c r="J17" s="2" t="s">
        <v>23</v>
      </c>
      <c r="K17" s="2" t="s">
        <v>22</v>
      </c>
      <c r="L17" s="2" t="s">
        <v>47</v>
      </c>
      <c r="M17" s="5" t="s">
        <v>44</v>
      </c>
      <c r="N17" s="2" t="s">
        <v>24</v>
      </c>
      <c r="O17" s="5" t="s">
        <v>24</v>
      </c>
      <c r="S17" s="6"/>
      <c r="T17" s="3">
        <v>46006.3867125463</v>
      </c>
      <c r="U17" s="6"/>
      <c r="V17" s="6"/>
      <c r="W17" s="3">
        <v>46005.02494350694</v>
      </c>
      <c r="X17" s="6"/>
    </row>
    <row r="18">
      <c r="A18" s="1" t="str">
        <f>IFERROR(__xludf.DUMMYFUNCTION("""COMPUTED_VALUE"""),"2511-543")</f>
        <v>2511-543</v>
      </c>
      <c r="B18" s="1" t="str">
        <f>IFERROR(__xludf.DUMMYFUNCTION("""COMPUTED_VALUE"""),"Simhon-Joshua-Tree-Plane-Storage-and-Fence-Permits")</f>
        <v>Simhon-Joshua-Tree-Plane-Storage-and-Fence-Permits</v>
      </c>
      <c r="C18" s="1" t="str">
        <f>IFERROR(__xludf.DUMMYFUNCTION("""COMPUTED_VALUE"""),"A002 - Existing Conditions")</f>
        <v>A002 - Existing Conditions</v>
      </c>
      <c r="D18" s="4">
        <f>IFERROR(__xludf.DUMMYFUNCTION("""COMPUTED_VALUE"""),1279201.0)</f>
        <v>1279201</v>
      </c>
      <c r="E18" s="5" t="s">
        <v>34</v>
      </c>
      <c r="J18" s="2" t="s">
        <v>42</v>
      </c>
      <c r="K18" s="2" t="s">
        <v>25</v>
      </c>
      <c r="L18" s="2" t="s">
        <v>47</v>
      </c>
      <c r="M18" s="5" t="s">
        <v>27</v>
      </c>
      <c r="N18" s="5" t="s">
        <v>27</v>
      </c>
      <c r="O18" s="5" t="s">
        <v>37</v>
      </c>
      <c r="S18" s="6"/>
      <c r="T18" s="6"/>
      <c r="U18" s="6"/>
      <c r="V18" s="6"/>
      <c r="W18" s="3">
        <v>46005.02498369213</v>
      </c>
      <c r="X18" s="6"/>
    </row>
    <row r="19">
      <c r="A19" s="1" t="str">
        <f>IFERROR(__xludf.DUMMYFUNCTION("""COMPUTED_VALUE"""),"2511-542")</f>
        <v>2511-542</v>
      </c>
      <c r="B19" s="1" t="str">
        <f>IFERROR(__xludf.DUMMYFUNCTION("""COMPUTED_VALUE"""),"Bergman-Temecula-Remodel-Design")</f>
        <v>Bergman-Temecula-Remodel-Design</v>
      </c>
      <c r="C19" s="1" t="str">
        <f>IFERROR(__xludf.DUMMYFUNCTION("""COMPUTED_VALUE"""),"A003.1 Client Review - Waiting on Others")</f>
        <v>A003.1 Client Review - Waiting on Others</v>
      </c>
      <c r="D19" s="4">
        <f>IFERROR(__xludf.DUMMYFUNCTION("""COMPUTED_VALUE"""),1279190.0)</f>
        <v>1279190</v>
      </c>
      <c r="E19" s="5" t="s">
        <v>20</v>
      </c>
      <c r="J19" s="2" t="s">
        <v>49</v>
      </c>
      <c r="K19" s="2" t="s">
        <v>51</v>
      </c>
      <c r="L19" s="2" t="s">
        <v>32</v>
      </c>
      <c r="M19" s="5" t="s">
        <v>24</v>
      </c>
      <c r="N19" s="5" t="s">
        <v>24</v>
      </c>
      <c r="O19" s="5" t="s">
        <v>27</v>
      </c>
      <c r="S19" s="3">
        <v>46005.41969267361</v>
      </c>
      <c r="T19" s="6"/>
      <c r="U19" s="6"/>
      <c r="V19" s="6"/>
      <c r="W19" s="3">
        <v>46005.024967986115</v>
      </c>
      <c r="X19" s="6"/>
    </row>
    <row r="20">
      <c r="A20" s="1" t="str">
        <f>IFERROR(__xludf.DUMMYFUNCTION("""COMPUTED_VALUE"""),"2510-541")</f>
        <v>2510-541</v>
      </c>
      <c r="B20" s="1" t="str">
        <f>IFERROR(__xludf.DUMMYFUNCTION("""COMPUTED_VALUE"""),"Klaassen-Del-Mar-Kitchen-Remodel")</f>
        <v>Klaassen-Del-Mar-Kitchen-Remodel</v>
      </c>
      <c r="C20" s="1" t="str">
        <f>IFERROR(__xludf.DUMMYFUNCTION("""COMPUTED_VALUE"""),"A003.1 Client Review - Waiting on Others")</f>
        <v>A003.1 Client Review - Waiting on Others</v>
      </c>
      <c r="D20" s="4">
        <f>IFERROR(__xludf.DUMMYFUNCTION("""COMPUTED_VALUE"""),1270542.0)</f>
        <v>1270542</v>
      </c>
      <c r="E20" s="2" t="s">
        <v>21</v>
      </c>
      <c r="G20" s="2" t="s">
        <v>44</v>
      </c>
      <c r="J20" s="2" t="s">
        <v>52</v>
      </c>
      <c r="K20" s="2" t="s">
        <v>47</v>
      </c>
      <c r="L20" s="2" t="s">
        <v>40</v>
      </c>
      <c r="M20" s="2" t="s">
        <v>27</v>
      </c>
      <c r="N20" s="5" t="s">
        <v>27</v>
      </c>
      <c r="O20" s="5" t="s">
        <v>48</v>
      </c>
      <c r="S20" s="3">
        <v>46006.38585327547</v>
      </c>
      <c r="T20" s="6"/>
      <c r="U20" s="6"/>
      <c r="V20" s="3">
        <v>46006.39554346065</v>
      </c>
      <c r="W20" s="3">
        <v>46006.396653993055</v>
      </c>
      <c r="X20" s="6"/>
    </row>
    <row r="21">
      <c r="A21" s="1" t="str">
        <f>IFERROR(__xludf.DUMMYFUNCTION("""COMPUTED_VALUE"""),"2510-540")</f>
        <v>2510-540</v>
      </c>
      <c r="B21" s="1" t="str">
        <f>IFERROR(__xludf.DUMMYFUNCTION("""COMPUTED_VALUE"""),"Alvi-Thousand-Oaks-ADU-and-Second-Story-Addition")</f>
        <v>Alvi-Thousand-Oaks-ADU-and-Second-Story-Addition</v>
      </c>
      <c r="C21" s="1" t="str">
        <f>IFERROR(__xludf.DUMMYFUNCTION("""COMPUTED_VALUE"""),"A003.1 Client Review - Waiting on Others")</f>
        <v>A003.1 Client Review - Waiting on Others</v>
      </c>
      <c r="D21" s="4">
        <f>IFERROR(__xludf.DUMMYFUNCTION("""COMPUTED_VALUE"""),1270488.0)</f>
        <v>1270488</v>
      </c>
      <c r="E21" s="2" t="s">
        <v>22</v>
      </c>
      <c r="J21" s="2" t="s">
        <v>40</v>
      </c>
      <c r="K21" s="2" t="s">
        <v>21</v>
      </c>
      <c r="L21" s="2" t="s">
        <v>39</v>
      </c>
      <c r="M21" s="5" t="s">
        <v>27</v>
      </c>
      <c r="N21" s="5" t="s">
        <v>48</v>
      </c>
      <c r="O21" s="5" t="s">
        <v>24</v>
      </c>
      <c r="S21" s="6"/>
      <c r="T21" s="6"/>
      <c r="U21" s="6"/>
      <c r="V21" s="6"/>
      <c r="W21" s="3">
        <v>46005.02461778936</v>
      </c>
      <c r="X21" s="6"/>
    </row>
    <row r="22">
      <c r="A22" s="1" t="str">
        <f>IFERROR(__xludf.DUMMYFUNCTION("""COMPUTED_VALUE"""),"2510-539")</f>
        <v>2510-539</v>
      </c>
      <c r="B22" s="1" t="str">
        <f>IFERROR(__xludf.DUMMYFUNCTION("""COMPUTED_VALUE"""),"McPartland-San-Diego-Site-Plan-Floor-Plans")</f>
        <v>McPartland-San-Diego-Site-Plan-Floor-Plans</v>
      </c>
      <c r="C22" s="1" t="str">
        <f>IFERROR(__xludf.DUMMYFUNCTION("""COMPUTED_VALUE"""),"A001.5 Site Visit and Scan")</f>
        <v>A001.5 Site Visit and Scan</v>
      </c>
      <c r="D22" s="4">
        <f>IFERROR(__xludf.DUMMYFUNCTION("""COMPUTED_VALUE"""),1269153.0)</f>
        <v>1269153</v>
      </c>
      <c r="E22" s="5" t="s">
        <v>20</v>
      </c>
      <c r="J22" s="2" t="s">
        <v>22</v>
      </c>
      <c r="K22" s="2" t="s">
        <v>51</v>
      </c>
      <c r="L22" s="2" t="s">
        <v>25</v>
      </c>
      <c r="M22" s="5" t="s">
        <v>27</v>
      </c>
      <c r="N22" s="5" t="s">
        <v>37</v>
      </c>
      <c r="O22" s="5" t="s">
        <v>44</v>
      </c>
      <c r="S22" s="6"/>
      <c r="T22" s="6"/>
      <c r="U22" s="6"/>
      <c r="V22" s="6"/>
      <c r="W22" s="3">
        <v>46005.02472686343</v>
      </c>
      <c r="X22" s="6"/>
    </row>
    <row r="23">
      <c r="A23" s="1" t="str">
        <f>IFERROR(__xludf.DUMMYFUNCTION("""COMPUTED_VALUE"""),"2510-538")</f>
        <v>2510-538</v>
      </c>
      <c r="B23" s="1" t="str">
        <f>IFERROR(__xludf.DUMMYFUNCTION("""COMPUTED_VALUE"""),"Kassem-Chino-Hills-Site-Plan")</f>
        <v>Kassem-Chino-Hills-Site-Plan</v>
      </c>
      <c r="C23" s="1" t="str">
        <f>IFERROR(__xludf.DUMMYFUNCTION("""COMPUTED_VALUE"""),"Completed - Sent to Client")</f>
        <v>Completed - Sent to Client</v>
      </c>
      <c r="D23" s="4">
        <f>IFERROR(__xludf.DUMMYFUNCTION("""COMPUTED_VALUE"""),1269154.0)</f>
        <v>1269154</v>
      </c>
      <c r="E23" s="5" t="s">
        <v>20</v>
      </c>
      <c r="J23" s="2" t="s">
        <v>36</v>
      </c>
      <c r="K23" s="2" t="s">
        <v>47</v>
      </c>
      <c r="L23" s="2" t="s">
        <v>40</v>
      </c>
      <c r="M23" s="5" t="s">
        <v>24</v>
      </c>
      <c r="N23" s="5" t="s">
        <v>48</v>
      </c>
      <c r="O23" s="5" t="s">
        <v>37</v>
      </c>
      <c r="S23" s="6"/>
      <c r="T23" s="6"/>
      <c r="U23" s="6"/>
      <c r="V23" s="6"/>
      <c r="W23" s="3">
        <v>46005.024695</v>
      </c>
      <c r="X23" s="6"/>
    </row>
    <row r="24">
      <c r="A24" s="1" t="str">
        <f>IFERROR(__xludf.DUMMYFUNCTION("""COMPUTED_VALUE"""),"2510-537")</f>
        <v>2510-537</v>
      </c>
      <c r="B24" s="1" t="str">
        <f>IFERROR(__xludf.DUMMYFUNCTION("""COMPUTED_VALUE"""),"Zohn-Del-Mar-Interior-Remodel")</f>
        <v>Zohn-Del-Mar-Interior-Remodel</v>
      </c>
      <c r="C24" s="1" t="str">
        <f>IFERROR(__xludf.DUMMYFUNCTION("""COMPUTED_VALUE"""),"A007.8 Pending Submittal")</f>
        <v>A007.8 Pending Submittal</v>
      </c>
      <c r="D24" s="4">
        <f>IFERROR(__xludf.DUMMYFUNCTION("""COMPUTED_VALUE"""),1260048.0)</f>
        <v>1260048</v>
      </c>
      <c r="E24" s="5" t="s">
        <v>34</v>
      </c>
      <c r="J24" s="2" t="s">
        <v>32</v>
      </c>
      <c r="K24" s="2" t="s">
        <v>22</v>
      </c>
      <c r="L24" s="2" t="s">
        <v>26</v>
      </c>
      <c r="M24" s="5" t="s">
        <v>48</v>
      </c>
      <c r="N24" s="5" t="s">
        <v>24</v>
      </c>
      <c r="O24" s="5" t="s">
        <v>37</v>
      </c>
      <c r="S24" s="6"/>
      <c r="T24" s="6"/>
      <c r="U24" s="6"/>
      <c r="V24" s="6"/>
      <c r="W24" s="3">
        <v>46005.024750185185</v>
      </c>
      <c r="X24" s="6"/>
    </row>
    <row r="25">
      <c r="A25" s="1" t="str">
        <f>IFERROR(__xludf.DUMMYFUNCTION("""COMPUTED_VALUE"""),"2510-536")</f>
        <v>2510-536</v>
      </c>
      <c r="B25" s="1" t="str">
        <f>IFERROR(__xludf.DUMMYFUNCTION("""COMPUTED_VALUE"""),"Bernhardt-Ventura-Attached-ADU")</f>
        <v>Bernhardt-Ventura-Attached-ADU</v>
      </c>
      <c r="C25" s="1" t="str">
        <f>IFERROR(__xludf.DUMMYFUNCTION("""COMPUTED_VALUE"""),"A003.1 Client Review - Waiting on Others")</f>
        <v>A003.1 Client Review - Waiting on Others</v>
      </c>
      <c r="D25" s="4">
        <f>IFERROR(__xludf.DUMMYFUNCTION("""COMPUTED_VALUE"""),1254048.0)</f>
        <v>1254048</v>
      </c>
      <c r="E25" s="5" t="s">
        <v>34</v>
      </c>
      <c r="J25" s="2" t="s">
        <v>51</v>
      </c>
      <c r="K25" s="2" t="s">
        <v>26</v>
      </c>
      <c r="L25" s="2" t="s">
        <v>33</v>
      </c>
      <c r="M25" s="5" t="s">
        <v>37</v>
      </c>
      <c r="N25" s="5" t="s">
        <v>27</v>
      </c>
      <c r="O25" s="5" t="s">
        <v>37</v>
      </c>
      <c r="S25" s="6"/>
      <c r="T25" s="6"/>
      <c r="U25" s="6"/>
      <c r="V25" s="6"/>
      <c r="W25" s="3">
        <v>46005.02476586806</v>
      </c>
      <c r="X25" s="6"/>
    </row>
    <row r="26">
      <c r="A26" s="1" t="str">
        <f>IFERROR(__xludf.DUMMYFUNCTION("""COMPUTED_VALUE"""),"2510-535")</f>
        <v>2510-535</v>
      </c>
      <c r="B26" s="1" t="str">
        <f>IFERROR(__xludf.DUMMYFUNCTION("""COMPUTED_VALUE"""),"Ward-Coronado-Attached-ADU")</f>
        <v>Ward-Coronado-Attached-ADU</v>
      </c>
      <c r="C26" s="1" t="str">
        <f>IFERROR(__xludf.DUMMYFUNCTION("""COMPUTED_VALUE"""),"A004 Designer SOW-CD Setup")</f>
        <v>A004 Designer SOW-CD Setup</v>
      </c>
      <c r="D26" s="4">
        <f>IFERROR(__xludf.DUMMYFUNCTION("""COMPUTED_VALUE"""),1253922.0)</f>
        <v>1253922</v>
      </c>
      <c r="E26" s="5" t="s">
        <v>34</v>
      </c>
      <c r="J26" s="2" t="s">
        <v>23</v>
      </c>
      <c r="K26" s="2" t="s">
        <v>26</v>
      </c>
      <c r="L26" s="2" t="s">
        <v>33</v>
      </c>
      <c r="M26" s="5" t="s">
        <v>48</v>
      </c>
      <c r="N26" s="5" t="s">
        <v>24</v>
      </c>
      <c r="O26" s="5" t="s">
        <v>48</v>
      </c>
      <c r="S26" s="6"/>
      <c r="T26" s="6"/>
      <c r="U26" s="6"/>
      <c r="V26" s="6"/>
      <c r="W26" s="3">
        <v>46005.02483219907</v>
      </c>
      <c r="X26" s="6"/>
    </row>
    <row r="27">
      <c r="A27" s="1" t="str">
        <f>IFERROR(__xludf.DUMMYFUNCTION("""COMPUTED_VALUE"""),"2510-534")</f>
        <v>2510-534</v>
      </c>
      <c r="B27" s="1" t="str">
        <f>IFERROR(__xludf.DUMMYFUNCTION("""COMPUTED_VALUE"""),"Bamforth-LA-Triplex-Remodel")</f>
        <v>Bamforth-LA-Triplex-Remodel</v>
      </c>
      <c r="C27" s="1" t="str">
        <f>IFERROR(__xludf.DUMMYFUNCTION("""COMPUTED_VALUE"""),"Paused - Stalled by 3rd Party")</f>
        <v>Paused - Stalled by 3rd Party</v>
      </c>
      <c r="D27" s="4">
        <f>IFERROR(__xludf.DUMMYFUNCTION("""COMPUTED_VALUE"""),1253831.0)</f>
        <v>1253831</v>
      </c>
      <c r="E27" s="5" t="s">
        <v>34</v>
      </c>
      <c r="F27" s="2" t="s">
        <v>21</v>
      </c>
      <c r="I27" s="2" t="s">
        <v>53</v>
      </c>
      <c r="J27" s="2" t="s">
        <v>26</v>
      </c>
      <c r="K27" s="2" t="s">
        <v>25</v>
      </c>
      <c r="L27" s="2" t="s">
        <v>40</v>
      </c>
      <c r="M27" s="5" t="s">
        <v>27</v>
      </c>
      <c r="N27" s="5" t="s">
        <v>27</v>
      </c>
      <c r="O27" s="5" t="s">
        <v>48</v>
      </c>
      <c r="S27" s="6"/>
      <c r="T27" s="6"/>
      <c r="U27" s="6"/>
      <c r="V27" s="6"/>
      <c r="W27" s="3">
        <v>46005.02486388889</v>
      </c>
      <c r="X27" s="3">
        <v>46006.25554309028</v>
      </c>
    </row>
    <row r="28">
      <c r="A28" s="1" t="str">
        <f>IFERROR(__xludf.DUMMYFUNCTION("""COMPUTED_VALUE"""),"2510-533")</f>
        <v>2510-533</v>
      </c>
      <c r="B28" s="1" t="str">
        <f>IFERROR(__xludf.DUMMYFUNCTION("""COMPUTED_VALUE"""),"Luviano-Murrieta-Taqueria-Remodel")</f>
        <v>Luviano-Murrieta-Taqueria-Remodel</v>
      </c>
      <c r="C28" s="1" t="str">
        <f>IFERROR(__xludf.DUMMYFUNCTION("""COMPUTED_VALUE"""),"Paused - Stalled by 3rd Party")</f>
        <v>Paused - Stalled by 3rd Party</v>
      </c>
      <c r="D28" s="4">
        <f>IFERROR(__xludf.DUMMYFUNCTION("""COMPUTED_VALUE"""),1252326.0)</f>
        <v>1252326</v>
      </c>
      <c r="E28" s="5" t="s">
        <v>34</v>
      </c>
      <c r="J28" s="2" t="s">
        <v>49</v>
      </c>
      <c r="K28" s="2" t="s">
        <v>47</v>
      </c>
      <c r="L28" s="2" t="s">
        <v>21</v>
      </c>
      <c r="M28" s="5" t="s">
        <v>48</v>
      </c>
      <c r="N28" s="5" t="s">
        <v>27</v>
      </c>
      <c r="O28" s="5" t="s">
        <v>48</v>
      </c>
      <c r="S28" s="6"/>
      <c r="T28" s="6"/>
      <c r="U28" s="6"/>
      <c r="V28" s="6"/>
      <c r="W28" s="6"/>
      <c r="X28" s="6"/>
    </row>
    <row r="29">
      <c r="A29" s="1" t="str">
        <f>IFERROR(__xludf.DUMMYFUNCTION("""COMPUTED_VALUE"""),"2510-532")</f>
        <v>2510-532</v>
      </c>
      <c r="B29" s="1" t="str">
        <f>IFERROR(__xludf.DUMMYFUNCTION("""COMPUTED_VALUE"""),"Garcia-Palmdale-New-SFH-ADU")</f>
        <v>Garcia-Palmdale-New-SFH-ADU</v>
      </c>
      <c r="C29" s="1" t="str">
        <f>IFERROR(__xludf.DUMMYFUNCTION("""COMPUTED_VALUE"""),"A005 Architectural &amp; Structural (CD's)")</f>
        <v>A005 Architectural &amp; Structural (CD's)</v>
      </c>
      <c r="D29" s="4">
        <f>IFERROR(__xludf.DUMMYFUNCTION("""COMPUTED_VALUE"""),1252267.0)</f>
        <v>1252267</v>
      </c>
      <c r="E29" s="2" t="s">
        <v>22</v>
      </c>
      <c r="J29" s="2" t="s">
        <v>21</v>
      </c>
      <c r="K29" s="2" t="s">
        <v>35</v>
      </c>
      <c r="L29" s="2" t="s">
        <v>35</v>
      </c>
      <c r="M29" s="5" t="s">
        <v>24</v>
      </c>
      <c r="N29" s="5" t="s">
        <v>37</v>
      </c>
      <c r="O29" s="5" t="s">
        <v>44</v>
      </c>
      <c r="S29" s="6"/>
      <c r="T29" s="6"/>
      <c r="U29" s="6"/>
      <c r="V29" s="3">
        <v>46006.276897303236</v>
      </c>
      <c r="W29" s="3">
        <v>46006.37090328704</v>
      </c>
      <c r="X29" s="6"/>
    </row>
    <row r="30">
      <c r="A30" s="1" t="str">
        <f>IFERROR(__xludf.DUMMYFUNCTION("""COMPUTED_VALUE"""),"2510-531")</f>
        <v>2510-531</v>
      </c>
      <c r="B30" s="1" t="str">
        <f>IFERROR(__xludf.DUMMYFUNCTION("""COMPUTED_VALUE"""),"Levin-Bacon-Topanga-SFR")</f>
        <v>Levin-Bacon-Topanga-SFR</v>
      </c>
      <c r="C30" s="1" t="str">
        <f>IFERROR(__xludf.DUMMYFUNCTION("""COMPUTED_VALUE"""),"A005.9 - Submitted to Planning")</f>
        <v>A005.9 - Submitted to Planning</v>
      </c>
      <c r="D30" s="4">
        <f>IFERROR(__xludf.DUMMYFUNCTION("""COMPUTED_VALUE"""),1248155.0)</f>
        <v>1248155</v>
      </c>
      <c r="E30" s="5" t="s">
        <v>34</v>
      </c>
      <c r="J30" s="2" t="s">
        <v>23</v>
      </c>
      <c r="K30" s="2" t="s">
        <v>22</v>
      </c>
      <c r="L30" s="2" t="s">
        <v>23</v>
      </c>
      <c r="M30" s="5" t="s">
        <v>37</v>
      </c>
      <c r="N30" s="2" t="s">
        <v>37</v>
      </c>
      <c r="O30" s="5" t="s">
        <v>48</v>
      </c>
      <c r="S30" s="6"/>
      <c r="T30" s="3">
        <v>46006.39056515046</v>
      </c>
      <c r="U30" s="6"/>
      <c r="V30" s="6"/>
      <c r="W30" s="6"/>
      <c r="X30" s="6"/>
    </row>
    <row r="31">
      <c r="A31" s="1" t="str">
        <f>IFERROR(__xludf.DUMMYFUNCTION("""COMPUTED_VALUE"""),"2510-530")</f>
        <v>2510-530</v>
      </c>
      <c r="B31" s="1" t="str">
        <f>IFERROR(__xludf.DUMMYFUNCTION("""COMPUTED_VALUE"""),"Hull-Castaic-Dance-Hall-Plans")</f>
        <v>Hull-Castaic-Dance-Hall-Plans</v>
      </c>
      <c r="C31" s="1" t="str">
        <f>IFERROR(__xludf.DUMMYFUNCTION("""COMPUTED_VALUE"""),"A007 Plan Detailing for Submittal")</f>
        <v>A007 Plan Detailing for Submittal</v>
      </c>
      <c r="D31" s="4">
        <f>IFERROR(__xludf.DUMMYFUNCTION("""COMPUTED_VALUE"""),1248231.0)</f>
        <v>1248231</v>
      </c>
      <c r="E31" s="5" t="s">
        <v>20</v>
      </c>
      <c r="J31" s="2" t="s">
        <v>36</v>
      </c>
      <c r="K31" s="2" t="s">
        <v>22</v>
      </c>
      <c r="L31" s="2" t="s">
        <v>23</v>
      </c>
      <c r="M31" s="5" t="s">
        <v>27</v>
      </c>
      <c r="N31" s="5" t="s">
        <v>24</v>
      </c>
      <c r="O31" s="5" t="s">
        <v>27</v>
      </c>
      <c r="S31" s="6"/>
      <c r="T31" s="6"/>
      <c r="U31" s="6"/>
      <c r="V31" s="6"/>
      <c r="W31" s="6"/>
      <c r="X31" s="6"/>
    </row>
    <row r="32">
      <c r="A32" s="1" t="str">
        <f>IFERROR(__xludf.DUMMYFUNCTION("""COMPUTED_VALUE"""),"2510-529")</f>
        <v>2510-529</v>
      </c>
      <c r="B32" s="1" t="str">
        <f>IFERROR(__xludf.DUMMYFUNCTION("""COMPUTED_VALUE"""),"Fontenot-La-Quinta-Remodel")</f>
        <v>Fontenot-La-Quinta-Remodel</v>
      </c>
      <c r="C32" s="1" t="str">
        <f>IFERROR(__xludf.DUMMYFUNCTION("""COMPUTED_VALUE"""),"Approved - Construction Phase")</f>
        <v>Approved - Construction Phase</v>
      </c>
      <c r="D32" s="4">
        <f>IFERROR(__xludf.DUMMYFUNCTION("""COMPUTED_VALUE"""),1248262.0)</f>
        <v>1248262</v>
      </c>
      <c r="E32" s="5" t="s">
        <v>34</v>
      </c>
      <c r="J32" s="2" t="s">
        <v>35</v>
      </c>
      <c r="K32" s="2" t="s">
        <v>23</v>
      </c>
      <c r="L32" s="2" t="s">
        <v>36</v>
      </c>
      <c r="M32" s="5" t="s">
        <v>24</v>
      </c>
      <c r="N32" s="5" t="s">
        <v>48</v>
      </c>
      <c r="O32" s="5" t="s">
        <v>48</v>
      </c>
      <c r="S32" s="6"/>
      <c r="T32" s="6"/>
      <c r="U32" s="6"/>
      <c r="V32" s="6"/>
      <c r="W32" s="6"/>
      <c r="X32" s="6"/>
    </row>
    <row r="33">
      <c r="A33" s="1" t="str">
        <f>IFERROR(__xludf.DUMMYFUNCTION("""COMPUTED_VALUE"""),"2510-528")</f>
        <v>2510-528</v>
      </c>
      <c r="B33" s="1" t="str">
        <f>IFERROR(__xludf.DUMMYFUNCTION("""COMPUTED_VALUE"""),"Patel-SD-Plan-Takeover")</f>
        <v>Patel-SD-Plan-Takeover</v>
      </c>
      <c r="C33" s="1" t="str">
        <f>IFERROR(__xludf.DUMMYFUNCTION("""COMPUTED_VALUE"""),"Completed - Sent to Client")</f>
        <v>Completed - Sent to Client</v>
      </c>
      <c r="D33" s="4">
        <f>IFERROR(__xludf.DUMMYFUNCTION("""COMPUTED_VALUE"""),1245820.0)</f>
        <v>1245820</v>
      </c>
      <c r="E33" s="5" t="s">
        <v>34</v>
      </c>
      <c r="J33" s="2" t="s">
        <v>42</v>
      </c>
      <c r="K33" s="2" t="s">
        <v>22</v>
      </c>
      <c r="L33" s="2" t="s">
        <v>40</v>
      </c>
      <c r="M33" s="5" t="s">
        <v>24</v>
      </c>
      <c r="N33" s="2" t="s">
        <v>37</v>
      </c>
      <c r="O33" s="5" t="s">
        <v>48</v>
      </c>
      <c r="S33" s="6"/>
      <c r="T33" s="3">
        <v>46006.38618465277</v>
      </c>
      <c r="U33" s="6"/>
      <c r="V33" s="6"/>
      <c r="W33" s="6"/>
      <c r="X33" s="6"/>
    </row>
    <row r="34">
      <c r="A34" s="1" t="str">
        <f>IFERROR(__xludf.DUMMYFUNCTION("""COMPUTED_VALUE"""),"2510-527")</f>
        <v>2510-527</v>
      </c>
      <c r="B34" s="1" t="str">
        <f>IFERROR(__xludf.DUMMYFUNCTION("""COMPUTED_VALUE"""),"Stephens-Spring-Valley-Detached-ADU")</f>
        <v>Stephens-Spring-Valley-Detached-ADU</v>
      </c>
      <c r="C34" s="1" t="str">
        <f>IFERROR(__xludf.DUMMYFUNCTION("""COMPUTED_VALUE"""),"A007.8 Pending Submittal")</f>
        <v>A007.8 Pending Submittal</v>
      </c>
      <c r="D34" s="4">
        <f>IFERROR(__xludf.DUMMYFUNCTION("""COMPUTED_VALUE"""),1242686.0)</f>
        <v>1242686</v>
      </c>
      <c r="E34" s="5" t="s">
        <v>20</v>
      </c>
      <c r="J34" s="2" t="s">
        <v>40</v>
      </c>
      <c r="K34" s="2" t="s">
        <v>21</v>
      </c>
      <c r="L34" s="2" t="s">
        <v>49</v>
      </c>
      <c r="M34" s="5" t="s">
        <v>44</v>
      </c>
      <c r="N34" s="5" t="s">
        <v>48</v>
      </c>
      <c r="O34" s="5" t="s">
        <v>37</v>
      </c>
      <c r="S34" s="6"/>
      <c r="T34" s="6"/>
      <c r="U34" s="6"/>
      <c r="V34" s="6"/>
      <c r="W34" s="6"/>
      <c r="X34" s="6"/>
    </row>
    <row r="35">
      <c r="A35" s="1" t="str">
        <f>IFERROR(__xludf.DUMMYFUNCTION("""COMPUTED_VALUE"""),"2509-526")</f>
        <v>2509-526</v>
      </c>
      <c r="B35" s="1" t="str">
        <f>IFERROR(__xludf.DUMMYFUNCTION("""COMPUTED_VALUE"""),"Stamper-San-Diego-GADU")</f>
        <v>Stamper-San-Diego-GADU</v>
      </c>
      <c r="C35" s="1" t="str">
        <f>IFERROR(__xludf.DUMMYFUNCTION("""COMPUTED_VALUE"""),"A007.8 Pending Submittal")</f>
        <v>A007.8 Pending Submittal</v>
      </c>
      <c r="D35" s="4">
        <f>IFERROR(__xludf.DUMMYFUNCTION("""COMPUTED_VALUE"""),1239185.0)</f>
        <v>1239185</v>
      </c>
      <c r="E35" s="5" t="s">
        <v>34</v>
      </c>
      <c r="J35" s="2" t="s">
        <v>32</v>
      </c>
      <c r="K35" s="2" t="s">
        <v>36</v>
      </c>
      <c r="L35" s="2" t="s">
        <v>25</v>
      </c>
      <c r="M35" s="5" t="s">
        <v>44</v>
      </c>
      <c r="N35" s="5" t="s">
        <v>37</v>
      </c>
      <c r="O35" s="5" t="s">
        <v>48</v>
      </c>
      <c r="S35" s="6"/>
      <c r="T35" s="6"/>
      <c r="U35" s="6"/>
      <c r="V35" s="6"/>
      <c r="W35" s="6"/>
      <c r="X35" s="6"/>
    </row>
    <row r="36">
      <c r="A36" s="1" t="str">
        <f>IFERROR(__xludf.DUMMYFUNCTION("""COMPUTED_VALUE"""),"2509-525")</f>
        <v>2509-525</v>
      </c>
      <c r="B36" s="1" t="str">
        <f>IFERROR(__xludf.DUMMYFUNCTION("""COMPUTED_VALUE"""),"Koch-Malibu-Fire-Rebuild")</f>
        <v>Koch-Malibu-Fire-Rebuild</v>
      </c>
      <c r="C36" s="1" t="str">
        <f>IFERROR(__xludf.DUMMYFUNCTION("""COMPUTED_VALUE"""),"A008.2 Architectural Comment Responses")</f>
        <v>A008.2 Architectural Comment Responses</v>
      </c>
      <c r="D36" s="4">
        <f>IFERROR(__xludf.DUMMYFUNCTION("""COMPUTED_VALUE"""),1239089.0)</f>
        <v>1239089</v>
      </c>
      <c r="E36" s="5" t="s">
        <v>20</v>
      </c>
      <c r="J36" s="2" t="s">
        <v>33</v>
      </c>
      <c r="K36" s="2" t="s">
        <v>33</v>
      </c>
      <c r="L36" s="2" t="s">
        <v>42</v>
      </c>
      <c r="M36" s="5" t="s">
        <v>44</v>
      </c>
      <c r="N36" s="5" t="s">
        <v>48</v>
      </c>
      <c r="O36" s="5" t="s">
        <v>27</v>
      </c>
      <c r="S36" s="6"/>
      <c r="T36" s="6"/>
      <c r="U36" s="6"/>
      <c r="V36" s="3">
        <v>46006.21562335648</v>
      </c>
      <c r="W36" s="6"/>
      <c r="X36" s="6"/>
    </row>
    <row r="37">
      <c r="A37" s="1" t="str">
        <f>IFERROR(__xludf.DUMMYFUNCTION("""COMPUTED_VALUE"""),"2509-524")</f>
        <v>2509-524</v>
      </c>
      <c r="B37" s="1" t="str">
        <f>IFERROR(__xludf.DUMMYFUNCTION("""COMPUTED_VALUE"""),"Franco-Calabasas-Addition")</f>
        <v>Franco-Calabasas-Addition</v>
      </c>
      <c r="C37" s="1" t="str">
        <f>IFERROR(__xludf.DUMMYFUNCTION("""COMPUTED_VALUE"""),"A006.5 - Structural Engineering")</f>
        <v>A006.5 - Structural Engineering</v>
      </c>
      <c r="D37" s="4">
        <f>IFERROR(__xludf.DUMMYFUNCTION("""COMPUTED_VALUE"""),1236273.0)</f>
        <v>1236273</v>
      </c>
      <c r="E37" s="5" t="s">
        <v>34</v>
      </c>
      <c r="J37" s="2" t="s">
        <v>47</v>
      </c>
      <c r="K37" s="2" t="s">
        <v>40</v>
      </c>
      <c r="L37" s="2" t="s">
        <v>40</v>
      </c>
      <c r="M37" s="5" t="s">
        <v>27</v>
      </c>
      <c r="N37" s="5" t="s">
        <v>37</v>
      </c>
      <c r="O37" s="5" t="s">
        <v>24</v>
      </c>
      <c r="S37" s="6"/>
      <c r="T37" s="6"/>
      <c r="U37" s="6"/>
      <c r="V37" s="6"/>
      <c r="W37" s="6"/>
      <c r="X37" s="6"/>
    </row>
    <row r="38">
      <c r="A38" s="1" t="str">
        <f>IFERROR(__xludf.DUMMYFUNCTION("""COMPUTED_VALUE"""),"2509-523")</f>
        <v>2509-523</v>
      </c>
      <c r="B38" s="1" t="str">
        <f>IFERROR(__xludf.DUMMYFUNCTION("""COMPUTED_VALUE"""),"Chang-Redondo-Loft-Clearance")</f>
        <v>Chang-Redondo-Loft-Clearance</v>
      </c>
      <c r="C38" s="1" t="str">
        <f>IFERROR(__xludf.DUMMYFUNCTION("""COMPUTED_VALUE"""),"A006.5 - Structural Engineering")</f>
        <v>A006.5 - Structural Engineering</v>
      </c>
      <c r="D38" s="4">
        <f>IFERROR(__xludf.DUMMYFUNCTION("""COMPUTED_VALUE"""),1236248.0)</f>
        <v>1236248</v>
      </c>
      <c r="E38" s="5" t="s">
        <v>20</v>
      </c>
      <c r="J38" s="2" t="s">
        <v>22</v>
      </c>
      <c r="K38" s="2" t="s">
        <v>23</v>
      </c>
      <c r="L38" s="2" t="s">
        <v>36</v>
      </c>
      <c r="M38" s="2" t="s">
        <v>37</v>
      </c>
      <c r="N38" s="5" t="s">
        <v>24</v>
      </c>
      <c r="O38" s="5" t="s">
        <v>27</v>
      </c>
      <c r="S38" s="3">
        <v>46006.39062770833</v>
      </c>
      <c r="T38" s="6"/>
      <c r="U38" s="6"/>
      <c r="V38" s="6"/>
      <c r="W38" s="6"/>
      <c r="X38" s="6"/>
    </row>
    <row r="39">
      <c r="A39" s="1" t="str">
        <f>IFERROR(__xludf.DUMMYFUNCTION("""COMPUTED_VALUE"""),"2509-522")</f>
        <v>2509-522</v>
      </c>
      <c r="B39" s="1" t="str">
        <f>IFERROR(__xludf.DUMMYFUNCTION("""COMPUTED_VALUE"""),"Solano-Gatton-Dana-Point-Interior-Remodel")</f>
        <v>Solano-Gatton-Dana-Point-Interior-Remodel</v>
      </c>
      <c r="C39" s="1" t="str">
        <f>IFERROR(__xludf.DUMMYFUNCTION("""COMPUTED_VALUE"""),"A008.2 Architectural Comment Responses")</f>
        <v>A008.2 Architectural Comment Responses</v>
      </c>
      <c r="D39" s="4">
        <f>IFERROR(__xludf.DUMMYFUNCTION("""COMPUTED_VALUE"""),1233834.0)</f>
        <v>1233834</v>
      </c>
      <c r="E39" s="5" t="s">
        <v>20</v>
      </c>
      <c r="J39" s="2" t="s">
        <v>40</v>
      </c>
      <c r="K39" s="2" t="s">
        <v>39</v>
      </c>
      <c r="L39" s="2" t="s">
        <v>43</v>
      </c>
      <c r="M39" s="5" t="s">
        <v>24</v>
      </c>
      <c r="N39" s="5" t="s">
        <v>48</v>
      </c>
      <c r="O39" s="5" t="s">
        <v>44</v>
      </c>
      <c r="S39" s="6"/>
      <c r="T39" s="6"/>
      <c r="U39" s="6"/>
      <c r="V39" s="6"/>
      <c r="W39" s="6"/>
      <c r="X39" s="6"/>
    </row>
    <row r="40">
      <c r="A40" s="1" t="str">
        <f>IFERROR(__xludf.DUMMYFUNCTION("""COMPUTED_VALUE"""),"2509-521")</f>
        <v>2509-521</v>
      </c>
      <c r="B40" s="1" t="str">
        <f>IFERROR(__xludf.DUMMYFUNCTION("""COMPUTED_VALUE"""),"Bala-Lawndale-Remodel-Structural-Only")</f>
        <v>Bala-Lawndale-Remodel-Structural-Only</v>
      </c>
      <c r="C40" s="1" t="str">
        <f>IFERROR(__xludf.DUMMYFUNCTION("""COMPUTED_VALUE"""),"A009 Resubmitted")</f>
        <v>A009 Resubmitted</v>
      </c>
      <c r="D40" s="4">
        <f>IFERROR(__xludf.DUMMYFUNCTION("""COMPUTED_VALUE"""),1232640.0)</f>
        <v>1232640</v>
      </c>
      <c r="E40" s="5" t="s">
        <v>34</v>
      </c>
      <c r="J40" s="2" t="s">
        <v>21</v>
      </c>
      <c r="K40" s="2" t="s">
        <v>42</v>
      </c>
      <c r="L40" s="2" t="s">
        <v>25</v>
      </c>
      <c r="M40" s="5" t="s">
        <v>24</v>
      </c>
      <c r="N40" s="5" t="s">
        <v>37</v>
      </c>
      <c r="O40" s="5" t="s">
        <v>44</v>
      </c>
      <c r="S40" s="3">
        <v>46005.12264607639</v>
      </c>
      <c r="T40" s="6"/>
      <c r="U40" s="6"/>
      <c r="V40" s="6"/>
      <c r="W40" s="6"/>
      <c r="X40" s="6"/>
    </row>
    <row r="41">
      <c r="A41" s="1" t="str">
        <f>IFERROR(__xludf.DUMMYFUNCTION("""COMPUTED_VALUE"""),"2509-520")</f>
        <v>2509-520</v>
      </c>
      <c r="B41" s="1" t="str">
        <f>IFERROR(__xludf.DUMMYFUNCTION("""COMPUTED_VALUE"""),"Monroe-Corona-Lot-Feasibility")</f>
        <v>Monroe-Corona-Lot-Feasibility</v>
      </c>
      <c r="C41" s="1" t="str">
        <f>IFERROR(__xludf.DUMMYFUNCTION("""COMPUTED_VALUE"""),"Completed - Sent to Client")</f>
        <v>Completed - Sent to Client</v>
      </c>
      <c r="D41" s="4">
        <f>IFERROR(__xludf.DUMMYFUNCTION("""COMPUTED_VALUE"""),1232634.0)</f>
        <v>1232634</v>
      </c>
      <c r="E41" s="5" t="s">
        <v>34</v>
      </c>
      <c r="J41" s="2" t="s">
        <v>22</v>
      </c>
      <c r="K41" s="2" t="s">
        <v>50</v>
      </c>
      <c r="L41" s="2" t="s">
        <v>43</v>
      </c>
      <c r="M41" s="5" t="s">
        <v>24</v>
      </c>
      <c r="N41" s="5" t="s">
        <v>24</v>
      </c>
      <c r="O41" s="5" t="s">
        <v>37</v>
      </c>
      <c r="S41" s="6"/>
      <c r="T41" s="6"/>
      <c r="U41" s="6"/>
      <c r="V41" s="3">
        <v>46006.21563107639</v>
      </c>
      <c r="W41" s="6"/>
      <c r="X41" s="6"/>
    </row>
    <row r="42">
      <c r="A42" s="1" t="str">
        <f>IFERROR(__xludf.DUMMYFUNCTION("""COMPUTED_VALUE"""),"2509-519")</f>
        <v>2509-519</v>
      </c>
      <c r="B42" s="1" t="str">
        <f>IFERROR(__xludf.DUMMYFUNCTION("""COMPUTED_VALUE"""),"Vera-Flores-Escondido-Large-Covered-Patio")</f>
        <v>Vera-Flores-Escondido-Large-Covered-Patio</v>
      </c>
      <c r="C42" s="1" t="str">
        <f>IFERROR(__xludf.DUMMYFUNCTION("""COMPUTED_VALUE"""),"A003 Preliminary Design (Schematic Design)")</f>
        <v>A003 Preliminary Design (Schematic Design)</v>
      </c>
      <c r="D42" s="4">
        <f>IFERROR(__xludf.DUMMYFUNCTION("""COMPUTED_VALUE"""),1232625.0)</f>
        <v>1232625</v>
      </c>
      <c r="E42" s="5" t="s">
        <v>34</v>
      </c>
      <c r="J42" s="2" t="s">
        <v>36</v>
      </c>
      <c r="K42" s="2" t="s">
        <v>50</v>
      </c>
      <c r="L42" s="2" t="s">
        <v>22</v>
      </c>
      <c r="M42" s="5" t="s">
        <v>37</v>
      </c>
      <c r="N42" s="5" t="s">
        <v>27</v>
      </c>
      <c r="O42" s="2" t="s">
        <v>24</v>
      </c>
      <c r="S42" s="6"/>
      <c r="T42" s="6"/>
      <c r="U42" s="3">
        <v>46006.390342280094</v>
      </c>
      <c r="V42" s="3">
        <v>46006.221123877316</v>
      </c>
      <c r="W42" s="3">
        <v>46006.22161707176</v>
      </c>
      <c r="X42" s="6"/>
    </row>
    <row r="43">
      <c r="A43" s="1" t="str">
        <f>IFERROR(__xludf.DUMMYFUNCTION("""COMPUTED_VALUE"""),"2509-518")</f>
        <v>2509-518</v>
      </c>
      <c r="B43" s="1" t="str">
        <f>IFERROR(__xludf.DUMMYFUNCTION("""COMPUTED_VALUE"""),"Dayne-SB-Remodel-Structural-Only")</f>
        <v>Dayne-SB-Remodel-Structural-Only</v>
      </c>
      <c r="C43" s="1" t="str">
        <f>IFERROR(__xludf.DUMMYFUNCTION("""COMPUTED_VALUE"""),"A008 Submitted - Waiting on Others")</f>
        <v>A008 Submitted - Waiting on Others</v>
      </c>
      <c r="D43" s="4">
        <f>IFERROR(__xludf.DUMMYFUNCTION("""COMPUTED_VALUE"""),1232389.0)</f>
        <v>1232389</v>
      </c>
      <c r="E43" s="5" t="s">
        <v>20</v>
      </c>
      <c r="J43" s="2" t="s">
        <v>39</v>
      </c>
      <c r="K43" s="2" t="s">
        <v>39</v>
      </c>
      <c r="L43" s="2" t="s">
        <v>25</v>
      </c>
      <c r="M43" s="5" t="s">
        <v>27</v>
      </c>
      <c r="N43" s="5" t="s">
        <v>24</v>
      </c>
      <c r="O43" s="5" t="s">
        <v>27</v>
      </c>
      <c r="S43" s="6"/>
      <c r="T43" s="3">
        <v>46005.25664104166</v>
      </c>
      <c r="U43" s="6"/>
      <c r="V43" s="6"/>
      <c r="W43" s="6"/>
      <c r="X43" s="6"/>
    </row>
    <row r="44">
      <c r="A44" s="1" t="str">
        <f>IFERROR(__xludf.DUMMYFUNCTION("""COMPUTED_VALUE"""),"2509-517")</f>
        <v>2509-517</v>
      </c>
      <c r="B44" s="1" t="str">
        <f>IFERROR(__xludf.DUMMYFUNCTION("""COMPUTED_VALUE"""),"Honomichl-Lompoc-Remodel-and-Sunroom")</f>
        <v>Honomichl-Lompoc-Remodel-and-Sunroom</v>
      </c>
      <c r="C44" s="1" t="str">
        <f>IFERROR(__xludf.DUMMYFUNCTION("""COMPUTED_VALUE"""),"A007 Plan Detailing for Submittal")</f>
        <v>A007 Plan Detailing for Submittal</v>
      </c>
      <c r="D44" s="4">
        <f>IFERROR(__xludf.DUMMYFUNCTION("""COMPUTED_VALUE"""),1232321.0)</f>
        <v>1232321</v>
      </c>
      <c r="E44" s="5" t="s">
        <v>20</v>
      </c>
      <c r="J44" s="2" t="s">
        <v>42</v>
      </c>
      <c r="K44" s="2" t="s">
        <v>25</v>
      </c>
      <c r="L44" s="2" t="s">
        <v>47</v>
      </c>
      <c r="M44" s="5" t="s">
        <v>48</v>
      </c>
      <c r="N44" s="5" t="s">
        <v>37</v>
      </c>
      <c r="O44" s="5" t="s">
        <v>37</v>
      </c>
      <c r="S44" s="6"/>
      <c r="T44" s="6"/>
      <c r="U44" s="6"/>
      <c r="V44" s="6"/>
      <c r="W44" s="6"/>
      <c r="X44" s="6"/>
    </row>
    <row r="45">
      <c r="A45" s="1" t="str">
        <f>IFERROR(__xludf.DUMMYFUNCTION("""COMPUTED_VALUE"""),"2509-516")</f>
        <v>2509-516</v>
      </c>
      <c r="B45" s="1" t="str">
        <f>IFERROR(__xludf.DUMMYFUNCTION("""COMPUTED_VALUE"""),"Chassiakos-Westchester-Beam-and-Sheer-Wall")</f>
        <v>Chassiakos-Westchester-Beam-and-Sheer-Wall</v>
      </c>
      <c r="C45" s="1" t="str">
        <f>IFERROR(__xludf.DUMMYFUNCTION("""COMPUTED_VALUE"""),"Approved - Construction Phase")</f>
        <v>Approved - Construction Phase</v>
      </c>
      <c r="D45" s="4">
        <f>IFERROR(__xludf.DUMMYFUNCTION("""COMPUTED_VALUE"""),1232286.0)</f>
        <v>1232286</v>
      </c>
      <c r="E45" s="5" t="s">
        <v>34</v>
      </c>
      <c r="F45" s="2"/>
      <c r="J45" s="2" t="s">
        <v>39</v>
      </c>
      <c r="K45" s="2" t="s">
        <v>35</v>
      </c>
      <c r="L45" s="2" t="s">
        <v>51</v>
      </c>
      <c r="M45" s="5" t="s">
        <v>48</v>
      </c>
      <c r="N45" s="5" t="s">
        <v>37</v>
      </c>
      <c r="O45" s="5" t="s">
        <v>37</v>
      </c>
      <c r="S45" s="6"/>
      <c r="T45" s="6"/>
      <c r="U45" s="6"/>
      <c r="V45" s="3">
        <v>46005.5061069213</v>
      </c>
      <c r="W45" s="3">
        <v>46005.55079633102</v>
      </c>
      <c r="X45" s="6"/>
    </row>
    <row r="46">
      <c r="A46" s="1" t="str">
        <f>IFERROR(__xludf.DUMMYFUNCTION("""COMPUTED_VALUE"""),"2509-515")</f>
        <v>2509-515</v>
      </c>
      <c r="B46" s="1" t="str">
        <f>IFERROR(__xludf.DUMMYFUNCTION("""COMPUTED_VALUE"""),"Harvey-Corona-Mini-Mart-Tis")</f>
        <v>Harvey-Corona-Mini-Mart-Tis</v>
      </c>
      <c r="C46" s="1" t="str">
        <f>IFERROR(__xludf.DUMMYFUNCTION("""COMPUTED_VALUE"""),"A005.8 - Planning Submittal Pending")</f>
        <v>A005.8 - Planning Submittal Pending</v>
      </c>
      <c r="D46" s="4">
        <f>IFERROR(__xludf.DUMMYFUNCTION("""COMPUTED_VALUE"""),1230624.0)</f>
        <v>1230624</v>
      </c>
      <c r="E46" s="5" t="s">
        <v>20</v>
      </c>
      <c r="J46" s="2" t="s">
        <v>42</v>
      </c>
      <c r="K46" s="2" t="s">
        <v>43</v>
      </c>
      <c r="L46" s="2" t="s">
        <v>40</v>
      </c>
      <c r="M46" s="5" t="s">
        <v>24</v>
      </c>
      <c r="N46" s="5" t="s">
        <v>44</v>
      </c>
      <c r="O46" s="5" t="s">
        <v>24</v>
      </c>
      <c r="S46" s="6"/>
      <c r="T46" s="6"/>
      <c r="U46" s="6"/>
      <c r="V46" s="6"/>
      <c r="W46" s="6"/>
      <c r="X46" s="6"/>
    </row>
    <row r="47">
      <c r="A47" s="1" t="str">
        <f>IFERROR(__xludf.DUMMYFUNCTION("""COMPUTED_VALUE"""),"2509-514")</f>
        <v>2509-514</v>
      </c>
      <c r="B47" s="1" t="str">
        <f>IFERROR(__xludf.DUMMYFUNCTION("""COMPUTED_VALUE"""),"Anderson-Idylwild-Deck-Site-Plan")</f>
        <v>Anderson-Idylwild-Deck-Site-Plan</v>
      </c>
      <c r="C47" s="1" t="str">
        <f>IFERROR(__xludf.DUMMYFUNCTION("""COMPUTED_VALUE"""),"A008.8 Pending Resubmittal")</f>
        <v>A008.8 Pending Resubmittal</v>
      </c>
      <c r="D47" s="4">
        <f>IFERROR(__xludf.DUMMYFUNCTION("""COMPUTED_VALUE"""),1227982.0)</f>
        <v>1227982</v>
      </c>
      <c r="E47" s="5" t="s">
        <v>20</v>
      </c>
      <c r="J47" s="2" t="s">
        <v>50</v>
      </c>
      <c r="K47" s="2" t="s">
        <v>33</v>
      </c>
      <c r="L47" s="2" t="s">
        <v>40</v>
      </c>
      <c r="M47" s="5" t="s">
        <v>48</v>
      </c>
      <c r="N47" s="5" t="s">
        <v>24</v>
      </c>
      <c r="O47" s="5" t="s">
        <v>48</v>
      </c>
      <c r="S47" s="6"/>
      <c r="T47" s="6"/>
      <c r="U47" s="6"/>
      <c r="V47" s="6"/>
      <c r="W47" s="6"/>
      <c r="X47" s="6"/>
    </row>
    <row r="48">
      <c r="A48" s="1" t="str">
        <f>IFERROR(__xludf.DUMMYFUNCTION("""COMPUTED_VALUE"""),"2509-513")</f>
        <v>2509-513</v>
      </c>
      <c r="B48" s="1" t="str">
        <f>IFERROR(__xludf.DUMMYFUNCTION("""COMPUTED_VALUE"""),"Romkee-Lompoc-Remodel-and-Garage")</f>
        <v>Romkee-Lompoc-Remodel-and-Garage</v>
      </c>
      <c r="C48" s="1" t="str">
        <f>IFERROR(__xludf.DUMMYFUNCTION("""COMPUTED_VALUE"""),"A007.8 Pending Submittal")</f>
        <v>A007.8 Pending Submittal</v>
      </c>
      <c r="D48" s="4">
        <f>IFERROR(__xludf.DUMMYFUNCTION("""COMPUTED_VALUE"""),1227940.0)</f>
        <v>1227940</v>
      </c>
      <c r="E48" s="5" t="s">
        <v>34</v>
      </c>
      <c r="J48" s="2" t="s">
        <v>36</v>
      </c>
      <c r="K48" s="2" t="s">
        <v>26</v>
      </c>
      <c r="L48" s="2" t="s">
        <v>47</v>
      </c>
      <c r="M48" s="5" t="s">
        <v>37</v>
      </c>
      <c r="N48" s="5" t="s">
        <v>24</v>
      </c>
      <c r="O48" s="5" t="s">
        <v>44</v>
      </c>
      <c r="S48" s="6"/>
      <c r="T48" s="6"/>
      <c r="U48" s="6"/>
      <c r="V48" s="6"/>
      <c r="W48" s="3">
        <v>46005.50726849537</v>
      </c>
      <c r="X48" s="6"/>
    </row>
    <row r="49">
      <c r="A49" s="1" t="str">
        <f>IFERROR(__xludf.DUMMYFUNCTION("""COMPUTED_VALUE"""),"2509-512")</f>
        <v>2509-512</v>
      </c>
      <c r="B49" s="1" t="str">
        <f>IFERROR(__xludf.DUMMYFUNCTION("""COMPUTED_VALUE"""),"Henderson-Altadena-Fire-Rebuild")</f>
        <v>Henderson-Altadena-Fire-Rebuild</v>
      </c>
      <c r="C49" s="1" t="str">
        <f>IFERROR(__xludf.DUMMYFUNCTION("""COMPUTED_VALUE"""),"A005.9 - Submitted to Planning")</f>
        <v>A005.9 - Submitted to Planning</v>
      </c>
      <c r="D49" s="4">
        <f>IFERROR(__xludf.DUMMYFUNCTION("""COMPUTED_VALUE"""),1225660.0)</f>
        <v>1225660</v>
      </c>
      <c r="E49" s="5" t="s">
        <v>34</v>
      </c>
      <c r="J49" s="2" t="s">
        <v>33</v>
      </c>
      <c r="K49" s="2" t="s">
        <v>43</v>
      </c>
      <c r="L49" s="2" t="s">
        <v>43</v>
      </c>
      <c r="M49" s="5" t="s">
        <v>37</v>
      </c>
      <c r="N49" s="5" t="s">
        <v>44</v>
      </c>
      <c r="O49" s="5" t="s">
        <v>27</v>
      </c>
      <c r="S49" s="6"/>
      <c r="T49" s="6"/>
      <c r="U49" s="6"/>
      <c r="V49" s="6"/>
      <c r="W49" s="6"/>
      <c r="X49" s="6"/>
    </row>
    <row r="50">
      <c r="A50" s="1" t="str">
        <f>IFERROR(__xludf.DUMMYFUNCTION("""COMPUTED_VALUE"""),"2509-511")</f>
        <v>2509-511</v>
      </c>
      <c r="B50" s="1" t="str">
        <f>IFERROR(__xludf.DUMMYFUNCTION("""COMPUTED_VALUE"""),"Visweswaran-Tustin-2nd-Floor-Addition")</f>
        <v>Visweswaran-Tustin-2nd-Floor-Addition</v>
      </c>
      <c r="C50" s="1" t="str">
        <f>IFERROR(__xludf.DUMMYFUNCTION("""COMPUTED_VALUE"""),"A008 Submitted - Waiting on Others")</f>
        <v>A008 Submitted - Waiting on Others</v>
      </c>
      <c r="D50" s="4">
        <f>IFERROR(__xludf.DUMMYFUNCTION("""COMPUTED_VALUE"""),1225573.0)</f>
        <v>1225573</v>
      </c>
      <c r="E50" s="5" t="s">
        <v>34</v>
      </c>
      <c r="J50" s="2" t="s">
        <v>39</v>
      </c>
      <c r="K50" s="2" t="s">
        <v>25</v>
      </c>
      <c r="L50" s="2" t="s">
        <v>33</v>
      </c>
      <c r="M50" s="5" t="s">
        <v>24</v>
      </c>
      <c r="N50" s="5" t="s">
        <v>37</v>
      </c>
      <c r="O50" s="5" t="s">
        <v>24</v>
      </c>
      <c r="S50" s="6"/>
      <c r="T50" s="6"/>
      <c r="U50" s="6"/>
      <c r="V50" s="6"/>
      <c r="W50" s="6"/>
      <c r="X50" s="6"/>
    </row>
    <row r="51">
      <c r="A51" s="1" t="str">
        <f>IFERROR(__xludf.DUMMYFUNCTION("""COMPUTED_VALUE"""),"2509-510")</f>
        <v>2509-510</v>
      </c>
      <c r="B51" s="1" t="str">
        <f>IFERROR(__xludf.DUMMYFUNCTION("""COMPUTED_VALUE"""),"Trahan-Santa-Barbara-Porch-and-Sunroom")</f>
        <v>Trahan-Santa-Barbara-Porch-and-Sunroom</v>
      </c>
      <c r="C51" s="1" t="str">
        <f>IFERROR(__xludf.DUMMYFUNCTION("""COMPUTED_VALUE"""),"A008.2 Architectural Comment Responses")</f>
        <v>A008.2 Architectural Comment Responses</v>
      </c>
      <c r="D51" s="4">
        <f>IFERROR(__xludf.DUMMYFUNCTION("""COMPUTED_VALUE"""),1225472.0)</f>
        <v>1225472</v>
      </c>
      <c r="E51" s="5" t="s">
        <v>34</v>
      </c>
      <c r="J51" s="2" t="s">
        <v>23</v>
      </c>
      <c r="K51" s="2" t="s">
        <v>49</v>
      </c>
      <c r="L51" s="2" t="s">
        <v>26</v>
      </c>
      <c r="M51" s="5" t="s">
        <v>24</v>
      </c>
      <c r="N51" s="5" t="s">
        <v>48</v>
      </c>
      <c r="O51" s="5" t="s">
        <v>27</v>
      </c>
      <c r="S51" s="6"/>
      <c r="T51" s="6"/>
      <c r="U51" s="6"/>
      <c r="V51" s="6"/>
      <c r="W51" s="6"/>
      <c r="X51" s="6"/>
    </row>
    <row r="52">
      <c r="A52" s="1" t="str">
        <f>IFERROR(__xludf.DUMMYFUNCTION("""COMPUTED_VALUE"""),"2509-509")</f>
        <v>2509-509</v>
      </c>
      <c r="B52" s="1" t="str">
        <f>IFERROR(__xludf.DUMMYFUNCTION("""COMPUTED_VALUE"""),"Barnard-Orange-Timber-Patio")</f>
        <v>Barnard-Orange-Timber-Patio</v>
      </c>
      <c r="C52" s="1" t="str">
        <f>IFERROR(__xludf.DUMMYFUNCTION("""COMPUTED_VALUE"""),"A008.8 Pending Resubmittal")</f>
        <v>A008.8 Pending Resubmittal</v>
      </c>
      <c r="D52" s="4">
        <f>IFERROR(__xludf.DUMMYFUNCTION("""COMPUTED_VALUE"""),1225381.0)</f>
        <v>1225381</v>
      </c>
      <c r="E52" s="5" t="s">
        <v>20</v>
      </c>
      <c r="J52" s="2" t="s">
        <v>26</v>
      </c>
      <c r="K52" s="2" t="s">
        <v>33</v>
      </c>
      <c r="L52" s="2" t="s">
        <v>43</v>
      </c>
      <c r="M52" s="5" t="s">
        <v>24</v>
      </c>
      <c r="N52" s="5" t="s">
        <v>48</v>
      </c>
      <c r="O52" s="5" t="s">
        <v>24</v>
      </c>
      <c r="S52" s="6"/>
      <c r="T52" s="6"/>
      <c r="U52" s="6"/>
      <c r="V52" s="6"/>
      <c r="W52" s="6"/>
      <c r="X52" s="6"/>
    </row>
    <row r="53">
      <c r="A53" s="1" t="str">
        <f>IFERROR(__xludf.DUMMYFUNCTION("""COMPUTED_VALUE"""),"2509-508")</f>
        <v>2509-508</v>
      </c>
      <c r="B53" s="1" t="str">
        <f>IFERROR(__xludf.DUMMYFUNCTION("""COMPUTED_VALUE"""),"Guest-Riverside-Kitchen-Remodel")</f>
        <v>Guest-Riverside-Kitchen-Remodel</v>
      </c>
      <c r="C53" s="1" t="str">
        <f>IFERROR(__xludf.DUMMYFUNCTION("""COMPUTED_VALUE"""),"Completed - Sent to Client")</f>
        <v>Completed - Sent to Client</v>
      </c>
      <c r="D53" s="4">
        <f>IFERROR(__xludf.DUMMYFUNCTION("""COMPUTED_VALUE"""),1225312.0)</f>
        <v>1225312</v>
      </c>
      <c r="E53" s="5" t="s">
        <v>20</v>
      </c>
      <c r="J53" s="2" t="s">
        <v>43</v>
      </c>
      <c r="K53" s="2" t="s">
        <v>51</v>
      </c>
      <c r="L53" s="2" t="s">
        <v>21</v>
      </c>
      <c r="M53" s="5" t="s">
        <v>24</v>
      </c>
      <c r="N53" s="5" t="s">
        <v>37</v>
      </c>
      <c r="O53" s="5" t="s">
        <v>37</v>
      </c>
      <c r="S53" s="6"/>
      <c r="T53" s="6"/>
      <c r="U53" s="6"/>
      <c r="V53" s="6"/>
      <c r="W53" s="6"/>
      <c r="X53" s="6"/>
    </row>
    <row r="54">
      <c r="A54" s="1" t="str">
        <f>IFERROR(__xludf.DUMMYFUNCTION("""COMPUTED_VALUE"""),"2509-507")</f>
        <v>2509-507</v>
      </c>
      <c r="B54" s="1" t="str">
        <f>IFERROR(__xludf.DUMMYFUNCTION("""COMPUTED_VALUE"""),"Woodward-Oceanside-Church-Occupancy")</f>
        <v>Woodward-Oceanside-Church-Occupancy</v>
      </c>
      <c r="C54" s="1" t="str">
        <f>IFERROR(__xludf.DUMMYFUNCTION("""COMPUTED_VALUE"""),"A008 Submitted - Waiting on Others")</f>
        <v>A008 Submitted - Waiting on Others</v>
      </c>
      <c r="D54" s="4">
        <f>IFERROR(__xludf.DUMMYFUNCTION("""COMPUTED_VALUE"""),1225171.0)</f>
        <v>1225171</v>
      </c>
      <c r="E54" s="5" t="s">
        <v>20</v>
      </c>
      <c r="J54" s="2" t="s">
        <v>40</v>
      </c>
      <c r="K54" s="2" t="s">
        <v>25</v>
      </c>
      <c r="L54" s="2" t="s">
        <v>33</v>
      </c>
      <c r="M54" s="5" t="s">
        <v>44</v>
      </c>
      <c r="N54" s="5" t="s">
        <v>44</v>
      </c>
      <c r="O54" s="5" t="s">
        <v>44</v>
      </c>
      <c r="S54" s="6"/>
      <c r="T54" s="6"/>
      <c r="U54" s="6"/>
      <c r="V54" s="6"/>
      <c r="W54" s="6"/>
      <c r="X54" s="6"/>
    </row>
    <row r="55">
      <c r="A55" s="1" t="str">
        <f>IFERROR(__xludf.DUMMYFUNCTION("""COMPUTED_VALUE"""),"2509-506")</f>
        <v>2509-506</v>
      </c>
      <c r="B55" s="1" t="str">
        <f>IFERROR(__xludf.DUMMYFUNCTION("""COMPUTED_VALUE"""),"Levin-Woodland-Addition-and-GADU")</f>
        <v>Levin-Woodland-Addition-and-GADU</v>
      </c>
      <c r="C55" s="1" t="str">
        <f>IFERROR(__xludf.DUMMYFUNCTION("""COMPUTED_VALUE"""),"A008.2 Architectural Comment Responses")</f>
        <v>A008.2 Architectural Comment Responses</v>
      </c>
      <c r="D55" s="4">
        <f>IFERROR(__xludf.DUMMYFUNCTION("""COMPUTED_VALUE"""),1213841.0)</f>
        <v>1213841</v>
      </c>
      <c r="E55" s="5" t="s">
        <v>34</v>
      </c>
      <c r="J55" s="2" t="s">
        <v>39</v>
      </c>
      <c r="K55" s="2" t="s">
        <v>43</v>
      </c>
      <c r="L55" s="2" t="s">
        <v>49</v>
      </c>
      <c r="M55" s="5" t="s">
        <v>24</v>
      </c>
      <c r="N55" s="5" t="s">
        <v>27</v>
      </c>
      <c r="O55" s="5" t="s">
        <v>48</v>
      </c>
      <c r="S55" s="6"/>
      <c r="T55" s="6"/>
      <c r="U55" s="6"/>
      <c r="V55" s="6"/>
      <c r="W55" s="6"/>
      <c r="X55" s="6"/>
    </row>
    <row r="56">
      <c r="A56" s="1" t="str">
        <f>IFERROR(__xludf.DUMMYFUNCTION("""COMPUTED_VALUE"""),"2509-043")</f>
        <v>2509-043</v>
      </c>
      <c r="B56" s="1" t="str">
        <f>IFERROR(__xludf.DUMMYFUNCTION("""COMPUTED_VALUE"""),"Verde-Chula Vista-Structural-New SFR")</f>
        <v>Verde-Chula Vista-Structural-New SFR</v>
      </c>
      <c r="C56" s="1" t="str">
        <f>IFERROR(__xludf.DUMMYFUNCTION("""COMPUTED_VALUE"""),"A006.5 - Structural Engineering")</f>
        <v>A006.5 - Structural Engineering</v>
      </c>
      <c r="D56" s="4">
        <f>IFERROR(__xludf.DUMMYFUNCTION("""COMPUTED_VALUE"""),1225409.0)</f>
        <v>1225409</v>
      </c>
      <c r="E56" s="5" t="s">
        <v>34</v>
      </c>
      <c r="J56" s="2" t="s">
        <v>36</v>
      </c>
      <c r="K56" s="2" t="s">
        <v>25</v>
      </c>
      <c r="L56" s="2" t="s">
        <v>25</v>
      </c>
      <c r="M56" s="5" t="s">
        <v>48</v>
      </c>
      <c r="N56" s="5" t="s">
        <v>48</v>
      </c>
      <c r="O56" s="5" t="s">
        <v>48</v>
      </c>
      <c r="S56" s="3">
        <v>46005.101590694445</v>
      </c>
      <c r="T56" s="6"/>
      <c r="U56" s="6"/>
      <c r="V56" s="6"/>
      <c r="W56" s="6"/>
      <c r="X56" s="6"/>
    </row>
    <row r="57">
      <c r="A57" s="1" t="str">
        <f>IFERROR(__xludf.DUMMYFUNCTION("""COMPUTED_VALUE"""),"2508-505")</f>
        <v>2508-505</v>
      </c>
      <c r="B57" s="1" t="str">
        <f>IFERROR(__xludf.DUMMYFUNCTION("""COMPUTED_VALUE"""),"Bretches-Corona-Gabled-Pavillion")</f>
        <v>Bretches-Corona-Gabled-Pavillion</v>
      </c>
      <c r="C57" s="1" t="str">
        <f>IFERROR(__xludf.DUMMYFUNCTION("""COMPUTED_VALUE"""),"Abandoned,Expired")</f>
        <v>Abandoned,Expired</v>
      </c>
      <c r="D57" s="4">
        <f>IFERROR(__xludf.DUMMYFUNCTION("""COMPUTED_VALUE"""),1208998.0)</f>
        <v>1208998</v>
      </c>
      <c r="E57" s="5" t="s">
        <v>34</v>
      </c>
      <c r="J57" s="2" t="s">
        <v>49</v>
      </c>
      <c r="K57" s="2" t="s">
        <v>43</v>
      </c>
      <c r="L57" s="2" t="s">
        <v>51</v>
      </c>
      <c r="M57" s="5" t="s">
        <v>24</v>
      </c>
      <c r="N57" s="5" t="s">
        <v>44</v>
      </c>
      <c r="O57" s="5" t="s">
        <v>27</v>
      </c>
      <c r="S57" s="6"/>
      <c r="T57" s="6"/>
      <c r="U57" s="6"/>
      <c r="V57" s="6"/>
      <c r="W57" s="6"/>
      <c r="X57" s="6"/>
    </row>
    <row r="58">
      <c r="A58" s="1" t="str">
        <f>IFERROR(__xludf.DUMMYFUNCTION("""COMPUTED_VALUE"""),"2508-504")</f>
        <v>2508-504</v>
      </c>
      <c r="B58" s="1" t="str">
        <f>IFERROR(__xludf.DUMMYFUNCTION("""COMPUTED_VALUE"""),"He-Carlsbad-TI-Design-Only")</f>
        <v>He-Carlsbad-TI-Design-Only</v>
      </c>
      <c r="C58" s="1" t="str">
        <f>IFERROR(__xludf.DUMMYFUNCTION("""COMPUTED_VALUE"""),"Completed - Sent to Client")</f>
        <v>Completed - Sent to Client</v>
      </c>
      <c r="D58" s="4">
        <f>IFERROR(__xludf.DUMMYFUNCTION("""COMPUTED_VALUE"""),1208535.0)</f>
        <v>1208535</v>
      </c>
      <c r="E58" s="5" t="s">
        <v>34</v>
      </c>
      <c r="J58" s="2" t="s">
        <v>26</v>
      </c>
      <c r="K58" s="2" t="s">
        <v>43</v>
      </c>
      <c r="L58" s="2" t="s">
        <v>43</v>
      </c>
      <c r="M58" s="5" t="s">
        <v>48</v>
      </c>
      <c r="N58" s="5" t="s">
        <v>37</v>
      </c>
      <c r="O58" s="5" t="s">
        <v>48</v>
      </c>
      <c r="S58" s="6"/>
      <c r="T58" s="6"/>
      <c r="U58" s="6"/>
      <c r="V58" s="6"/>
      <c r="W58" s="6"/>
      <c r="X58" s="6"/>
    </row>
    <row r="59">
      <c r="A59" s="1" t="str">
        <f>IFERROR(__xludf.DUMMYFUNCTION("""COMPUTED_VALUE"""),"2508-503")</f>
        <v>2508-503</v>
      </c>
      <c r="B59" s="1" t="str">
        <f>IFERROR(__xludf.DUMMYFUNCTION("""COMPUTED_VALUE"""),"Uhl-Ventura-Retaining-Wall-Plans-Takeover")</f>
        <v>Uhl-Ventura-Retaining-Wall-Plans-Takeover</v>
      </c>
      <c r="C59" s="1" t="str">
        <f>IFERROR(__xludf.DUMMYFUNCTION("""COMPUTED_VALUE"""),"A008 Submitted - Waiting on Others")</f>
        <v>A008 Submitted - Waiting on Others</v>
      </c>
      <c r="D59" s="4">
        <f>IFERROR(__xludf.DUMMYFUNCTION("""COMPUTED_VALUE"""),1206069.0)</f>
        <v>1206069</v>
      </c>
      <c r="E59" s="5" t="s">
        <v>34</v>
      </c>
      <c r="J59" s="2" t="s">
        <v>21</v>
      </c>
      <c r="K59" s="2" t="s">
        <v>22</v>
      </c>
      <c r="L59" s="2" t="s">
        <v>47</v>
      </c>
      <c r="M59" s="5" t="s">
        <v>48</v>
      </c>
      <c r="N59" s="5" t="s">
        <v>37</v>
      </c>
      <c r="O59" s="5" t="s">
        <v>37</v>
      </c>
      <c r="S59" s="6"/>
      <c r="T59" s="3">
        <v>46005.131872893515</v>
      </c>
      <c r="U59" s="6"/>
      <c r="V59" s="6"/>
      <c r="W59" s="6"/>
      <c r="X59" s="6"/>
    </row>
    <row r="60">
      <c r="A60" s="1" t="str">
        <f>IFERROR(__xludf.DUMMYFUNCTION("""COMPUTED_VALUE"""),"2508-502")</f>
        <v>2508-502</v>
      </c>
      <c r="B60" s="1" t="str">
        <f>IFERROR(__xludf.DUMMYFUNCTION("""COMPUTED_VALUE"""),"Anderson-Oxnard-Beam-Install")</f>
        <v>Anderson-Oxnard-Beam-Install</v>
      </c>
      <c r="C60" s="1" t="str">
        <f>IFERROR(__xludf.DUMMYFUNCTION("""COMPUTED_VALUE"""),"A008.6 Arch Packaging Re-Submittal")</f>
        <v>A008.6 Arch Packaging Re-Submittal</v>
      </c>
      <c r="D60" s="4">
        <f>IFERROR(__xludf.DUMMYFUNCTION("""COMPUTED_VALUE"""),1197991.0)</f>
        <v>1197991</v>
      </c>
      <c r="E60" s="5" t="s">
        <v>34</v>
      </c>
      <c r="J60" s="2" t="s">
        <v>50</v>
      </c>
      <c r="K60" s="2" t="s">
        <v>35</v>
      </c>
      <c r="L60" s="2" t="s">
        <v>23</v>
      </c>
      <c r="M60" s="5" t="s">
        <v>48</v>
      </c>
      <c r="N60" s="5" t="s">
        <v>44</v>
      </c>
      <c r="O60" s="5" t="s">
        <v>24</v>
      </c>
      <c r="S60" s="6"/>
      <c r="T60" s="6"/>
      <c r="U60" s="6"/>
      <c r="V60" s="6"/>
      <c r="W60" s="6"/>
      <c r="X60" s="6"/>
    </row>
    <row r="61">
      <c r="A61" s="1" t="str">
        <f>IFERROR(__xludf.DUMMYFUNCTION("""COMPUTED_VALUE"""),"2508-501")</f>
        <v>2508-501</v>
      </c>
      <c r="B61" s="1" t="str">
        <f>IFERROR(__xludf.DUMMYFUNCTION("""COMPUTED_VALUE"""),"Leming-Pasadena-Fire-Rebuild")</f>
        <v>Leming-Pasadena-Fire-Rebuild</v>
      </c>
      <c r="C61" s="1" t="str">
        <f>IFERROR(__xludf.DUMMYFUNCTION("""COMPUTED_VALUE"""),"A007 Plan Detailing for Submittal")</f>
        <v>A007 Plan Detailing for Submittal</v>
      </c>
      <c r="D61" s="4">
        <f>IFERROR(__xludf.DUMMYFUNCTION("""COMPUTED_VALUE"""),1197873.0)</f>
        <v>1197873</v>
      </c>
      <c r="E61" s="5" t="s">
        <v>34</v>
      </c>
      <c r="J61" s="2" t="s">
        <v>51</v>
      </c>
      <c r="K61" s="2" t="s">
        <v>26</v>
      </c>
      <c r="L61" s="2" t="s">
        <v>51</v>
      </c>
      <c r="M61" s="5" t="s">
        <v>44</v>
      </c>
      <c r="N61" s="5" t="s">
        <v>44</v>
      </c>
      <c r="O61" s="5" t="s">
        <v>44</v>
      </c>
      <c r="S61" s="6"/>
      <c r="T61" s="3">
        <v>46005.42472619213</v>
      </c>
      <c r="U61" s="6"/>
      <c r="V61" s="6"/>
      <c r="W61" s="6"/>
      <c r="X61" s="6"/>
    </row>
    <row r="62">
      <c r="A62" s="1" t="str">
        <f>IFERROR(__xludf.DUMMYFUNCTION("""COMPUTED_VALUE"""),"2508-500")</f>
        <v>2508-500</v>
      </c>
      <c r="B62" s="1" t="str">
        <f>IFERROR(__xludf.DUMMYFUNCTION("""COMPUTED_VALUE"""),"Jaima-Yucaipa-New-SFH")</f>
        <v>Jaima-Yucaipa-New-SFH</v>
      </c>
      <c r="C62" s="1" t="str">
        <f>IFERROR(__xludf.DUMMYFUNCTION("""COMPUTED_VALUE"""),"A008 Submitted - Waiting on Others")</f>
        <v>A008 Submitted - Waiting on Others</v>
      </c>
      <c r="D62" s="4">
        <f>IFERROR(__xludf.DUMMYFUNCTION("""COMPUTED_VALUE"""),1193847.0)</f>
        <v>1193847</v>
      </c>
      <c r="E62" s="5" t="s">
        <v>20</v>
      </c>
      <c r="J62" s="2" t="s">
        <v>22</v>
      </c>
      <c r="K62" s="2" t="s">
        <v>23</v>
      </c>
      <c r="L62" s="2" t="s">
        <v>42</v>
      </c>
      <c r="M62" s="5" t="s">
        <v>27</v>
      </c>
      <c r="N62" s="5" t="s">
        <v>24</v>
      </c>
      <c r="O62" s="5" t="s">
        <v>44</v>
      </c>
      <c r="S62" s="6"/>
      <c r="T62" s="6"/>
      <c r="U62" s="6"/>
      <c r="V62" s="6"/>
      <c r="W62" s="6"/>
      <c r="X62" s="6"/>
    </row>
    <row r="63">
      <c r="A63" s="1" t="str">
        <f>IFERROR(__xludf.DUMMYFUNCTION("""COMPUTED_VALUE"""),"2508-499")</f>
        <v>2508-499</v>
      </c>
      <c r="B63" s="1" t="str">
        <f>IFERROR(__xludf.DUMMYFUNCTION("""COMPUTED_VALUE"""),"Pina-Norwalk-Patio-Enclosure")</f>
        <v>Pina-Norwalk-Patio-Enclosure</v>
      </c>
      <c r="C63" s="1" t="str">
        <f>IFERROR(__xludf.DUMMYFUNCTION("""COMPUTED_VALUE"""),"A008.8 Pending Resubmittal")</f>
        <v>A008.8 Pending Resubmittal</v>
      </c>
      <c r="D63" s="4">
        <f>IFERROR(__xludf.DUMMYFUNCTION("""COMPUTED_VALUE"""),1193797.0)</f>
        <v>1193797</v>
      </c>
      <c r="E63" s="5" t="s">
        <v>34</v>
      </c>
      <c r="J63" s="2" t="s">
        <v>49</v>
      </c>
      <c r="K63" s="2" t="s">
        <v>49</v>
      </c>
      <c r="L63" s="2" t="s">
        <v>22</v>
      </c>
      <c r="M63" s="5" t="s">
        <v>27</v>
      </c>
      <c r="N63" s="5" t="s">
        <v>27</v>
      </c>
      <c r="O63" s="5" t="s">
        <v>37</v>
      </c>
      <c r="S63" s="6"/>
      <c r="T63" s="6"/>
      <c r="U63" s="6"/>
      <c r="V63" s="6"/>
      <c r="W63" s="6"/>
      <c r="X63" s="6"/>
    </row>
    <row r="64">
      <c r="A64" s="1" t="str">
        <f>IFERROR(__xludf.DUMMYFUNCTION("""COMPUTED_VALUE"""),"2508-498")</f>
        <v>2508-498</v>
      </c>
      <c r="B64" s="1" t="str">
        <f>IFERROR(__xludf.DUMMYFUNCTION("""COMPUTED_VALUE"""),"Satran-LA-ADU-Conversion")</f>
        <v>Satran-LA-ADU-Conversion</v>
      </c>
      <c r="C64" s="1" t="str">
        <f>IFERROR(__xludf.DUMMYFUNCTION("""COMPUTED_VALUE"""),"A008.2 Architectural Comment Responses")</f>
        <v>A008.2 Architectural Comment Responses</v>
      </c>
      <c r="D64" s="4">
        <f>IFERROR(__xludf.DUMMYFUNCTION("""COMPUTED_VALUE"""),1192253.0)</f>
        <v>1192253</v>
      </c>
      <c r="E64" s="5" t="s">
        <v>34</v>
      </c>
      <c r="J64" s="2" t="s">
        <v>21</v>
      </c>
      <c r="K64" s="2" t="s">
        <v>43</v>
      </c>
      <c r="L64" s="2" t="s">
        <v>26</v>
      </c>
      <c r="M64" s="5" t="s">
        <v>44</v>
      </c>
      <c r="N64" s="5" t="s">
        <v>37</v>
      </c>
      <c r="O64" s="5" t="s">
        <v>27</v>
      </c>
      <c r="S64" s="6"/>
      <c r="T64" s="6"/>
      <c r="U64" s="6"/>
      <c r="V64" s="6"/>
      <c r="W64" s="6"/>
      <c r="X64" s="6"/>
    </row>
    <row r="65">
      <c r="A65" s="1" t="str">
        <f>IFERROR(__xludf.DUMMYFUNCTION("""COMPUTED_VALUE"""),"2508-497")</f>
        <v>2508-497</v>
      </c>
      <c r="B65" s="1" t="str">
        <f>IFERROR(__xludf.DUMMYFUNCTION("""COMPUTED_VALUE"""),"Griffin-Kurtz-Encinitas-ADU-Permitting")</f>
        <v>Griffin-Kurtz-Encinitas-ADU-Permitting</v>
      </c>
      <c r="C65" s="1" t="str">
        <f>IFERROR(__xludf.DUMMYFUNCTION("""COMPUTED_VALUE"""),"A009 Resubmitted")</f>
        <v>A009 Resubmitted</v>
      </c>
      <c r="D65" s="4">
        <f>IFERROR(__xludf.DUMMYFUNCTION("""COMPUTED_VALUE"""),1192115.0)</f>
        <v>1192115</v>
      </c>
      <c r="E65" s="5" t="s">
        <v>34</v>
      </c>
      <c r="J65" s="2" t="s">
        <v>51</v>
      </c>
      <c r="K65" s="2" t="s">
        <v>36</v>
      </c>
      <c r="L65" s="2" t="s">
        <v>47</v>
      </c>
      <c r="M65" s="5" t="s">
        <v>24</v>
      </c>
      <c r="N65" s="5" t="s">
        <v>37</v>
      </c>
      <c r="O65" s="5" t="s">
        <v>27</v>
      </c>
      <c r="S65" s="6"/>
      <c r="T65" s="6"/>
      <c r="U65" s="6"/>
      <c r="V65" s="6"/>
      <c r="W65" s="6"/>
      <c r="X65" s="6"/>
    </row>
    <row r="66">
      <c r="A66" s="1" t="str">
        <f>IFERROR(__xludf.DUMMYFUNCTION("""COMPUTED_VALUE"""),"2508-496")</f>
        <v>2508-496</v>
      </c>
      <c r="B66" s="1" t="str">
        <f>IFERROR(__xludf.DUMMYFUNCTION("""COMPUTED_VALUE"""),"Janes-Canyon-County-Garage-Room-Conversion")</f>
        <v>Janes-Canyon-County-Garage-Room-Conversion</v>
      </c>
      <c r="C66" s="1" t="str">
        <f>IFERROR(__xludf.DUMMYFUNCTION("""COMPUTED_VALUE"""),"A008.8 Pending Resubmittal")</f>
        <v>A008.8 Pending Resubmittal</v>
      </c>
      <c r="D66" s="4">
        <f>IFERROR(__xludf.DUMMYFUNCTION("""COMPUTED_VALUE"""),1193334.0)</f>
        <v>1193334</v>
      </c>
      <c r="E66" s="5" t="s">
        <v>34</v>
      </c>
      <c r="J66" s="2" t="s">
        <v>40</v>
      </c>
      <c r="K66" s="2" t="s">
        <v>32</v>
      </c>
      <c r="L66" s="2" t="s">
        <v>42</v>
      </c>
      <c r="M66" s="5" t="s">
        <v>37</v>
      </c>
      <c r="N66" s="5" t="s">
        <v>44</v>
      </c>
      <c r="O66" s="5" t="s">
        <v>24</v>
      </c>
      <c r="S66" s="6"/>
      <c r="T66" s="6"/>
      <c r="U66" s="6"/>
      <c r="V66" s="6"/>
      <c r="W66" s="6"/>
      <c r="X66" s="6"/>
    </row>
    <row r="67">
      <c r="A67" s="1" t="str">
        <f>IFERROR(__xludf.DUMMYFUNCTION("""COMPUTED_VALUE"""),"2508-495")</f>
        <v>2508-495</v>
      </c>
      <c r="B67" s="1" t="str">
        <f>IFERROR(__xludf.DUMMYFUNCTION("""COMPUTED_VALUE"""),"Parks-Anaheim-Room-Addition")</f>
        <v>Parks-Anaheim-Room-Addition</v>
      </c>
      <c r="C67" s="1" t="str">
        <f>IFERROR(__xludf.DUMMYFUNCTION("""COMPUTED_VALUE"""),"A009 Resubmitted")</f>
        <v>A009 Resubmitted</v>
      </c>
      <c r="D67" s="4">
        <f>IFERROR(__xludf.DUMMYFUNCTION("""COMPUTED_VALUE"""),1184945.0)</f>
        <v>1184945</v>
      </c>
      <c r="E67" s="5" t="s">
        <v>34</v>
      </c>
      <c r="J67" s="2" t="s">
        <v>25</v>
      </c>
      <c r="K67" s="2" t="s">
        <v>26</v>
      </c>
      <c r="L67" s="2" t="s">
        <v>23</v>
      </c>
      <c r="M67" s="5" t="s">
        <v>48</v>
      </c>
      <c r="N67" s="5" t="s">
        <v>44</v>
      </c>
      <c r="O67" s="5" t="s">
        <v>48</v>
      </c>
      <c r="S67" s="6"/>
      <c r="T67" s="6"/>
      <c r="U67" s="6"/>
      <c r="V67" s="6"/>
      <c r="W67" s="6"/>
      <c r="X67" s="6"/>
    </row>
    <row r="68">
      <c r="A68" s="1" t="str">
        <f>IFERROR(__xludf.DUMMYFUNCTION("""COMPUTED_VALUE"""),"2508-494")</f>
        <v>2508-494</v>
      </c>
      <c r="B68" s="1" t="str">
        <f>IFERROR(__xludf.DUMMYFUNCTION("""COMPUTED_VALUE"""),"Leveque-PMC-New-Attached-Garage-and-FROG")</f>
        <v>Leveque-PMC-New-Attached-Garage-and-FROG</v>
      </c>
      <c r="C68" s="1" t="str">
        <f>IFERROR(__xludf.DUMMYFUNCTION("""COMPUTED_VALUE"""),"A005 Architectural &amp; Structural (CD's)")</f>
        <v>A005 Architectural &amp; Structural (CD's)</v>
      </c>
      <c r="D68" s="4">
        <f>IFERROR(__xludf.DUMMYFUNCTION("""COMPUTED_VALUE"""),1184395.0)</f>
        <v>1184395</v>
      </c>
      <c r="E68" s="5" t="s">
        <v>34</v>
      </c>
      <c r="J68" s="2" t="s">
        <v>47</v>
      </c>
      <c r="K68" s="2" t="s">
        <v>36</v>
      </c>
      <c r="L68" s="2" t="s">
        <v>21</v>
      </c>
      <c r="M68" s="5" t="s">
        <v>37</v>
      </c>
      <c r="N68" s="5" t="s">
        <v>24</v>
      </c>
      <c r="O68" s="5" t="s">
        <v>27</v>
      </c>
      <c r="S68" s="6"/>
      <c r="T68" s="6"/>
      <c r="U68" s="6"/>
      <c r="V68" s="6"/>
      <c r="W68" s="6"/>
      <c r="X68" s="6"/>
    </row>
    <row r="69">
      <c r="A69" s="1" t="str">
        <f>IFERROR(__xludf.DUMMYFUNCTION("""COMPUTED_VALUE"""),"2508-493")</f>
        <v>2508-493</v>
      </c>
      <c r="B69" s="1" t="str">
        <f>IFERROR(__xludf.DUMMYFUNCTION("""COMPUTED_VALUE"""),"Russo-Morongo-Valley-Addition-Permitting")</f>
        <v>Russo-Morongo-Valley-Addition-Permitting</v>
      </c>
      <c r="C69" s="1" t="str">
        <f>IFERROR(__xludf.DUMMYFUNCTION("""COMPUTED_VALUE"""),"A009 Resubmitted")</f>
        <v>A009 Resubmitted</v>
      </c>
      <c r="D69" s="4">
        <f>IFERROR(__xludf.DUMMYFUNCTION("""COMPUTED_VALUE"""),1184390.0)</f>
        <v>1184390</v>
      </c>
      <c r="E69" s="5" t="s">
        <v>34</v>
      </c>
      <c r="J69" s="2" t="s">
        <v>42</v>
      </c>
      <c r="K69" s="2" t="s">
        <v>33</v>
      </c>
      <c r="L69" s="2" t="s">
        <v>47</v>
      </c>
      <c r="M69" s="5" t="s">
        <v>48</v>
      </c>
      <c r="N69" s="5" t="s">
        <v>48</v>
      </c>
      <c r="O69" s="5" t="s">
        <v>37</v>
      </c>
      <c r="S69" s="6"/>
      <c r="T69" s="6"/>
      <c r="U69" s="6"/>
      <c r="V69" s="6"/>
      <c r="W69" s="6"/>
      <c r="X69" s="6"/>
    </row>
    <row r="70">
      <c r="A70" s="1" t="str">
        <f>IFERROR(__xludf.DUMMYFUNCTION("""COMPUTED_VALUE"""),"2508-042")</f>
        <v>2508-042</v>
      </c>
      <c r="B70" s="1" t="str">
        <f>IFERROR(__xludf.DUMMYFUNCTION("""COMPUTED_VALUE"""),"Donax-San Diego-2 SFRs-Structural Only")</f>
        <v>Donax-San Diego-2 SFRs-Structural Only</v>
      </c>
      <c r="C70" s="1" t="str">
        <f>IFERROR(__xludf.DUMMYFUNCTION("""COMPUTED_VALUE"""),"A006.5 - Structural Engineering")</f>
        <v>A006.5 - Structural Engineering</v>
      </c>
      <c r="D70" s="4">
        <f>IFERROR(__xludf.DUMMYFUNCTION("""COMPUTED_VALUE"""),1218477.0)</f>
        <v>1218477</v>
      </c>
      <c r="E70" s="5" t="s">
        <v>20</v>
      </c>
      <c r="J70" s="2" t="s">
        <v>50</v>
      </c>
      <c r="K70" s="2" t="s">
        <v>22</v>
      </c>
      <c r="L70" s="2" t="s">
        <v>51</v>
      </c>
      <c r="M70" s="5" t="s">
        <v>37</v>
      </c>
      <c r="N70" s="5" t="s">
        <v>24</v>
      </c>
      <c r="O70" s="5" t="s">
        <v>37</v>
      </c>
      <c r="S70" s="3">
        <v>46005.13102850695</v>
      </c>
      <c r="T70" s="6"/>
      <c r="U70" s="6"/>
      <c r="V70" s="6"/>
      <c r="W70" s="6"/>
      <c r="X70" s="6"/>
    </row>
    <row r="71">
      <c r="A71" s="1" t="str">
        <f>IFERROR(__xludf.DUMMYFUNCTION("""COMPUTED_VALUE"""),"2508-041")</f>
        <v>2508-041</v>
      </c>
      <c r="B71" s="1" t="str">
        <f>IFERROR(__xludf.DUMMYFUNCTION("""COMPUTED_VALUE"""),"Estada Structural")</f>
        <v>Estada Structural</v>
      </c>
      <c r="C71" s="1" t="str">
        <f>IFERROR(__xludf.DUMMYFUNCTION("""COMPUTED_VALUE"""),"A008.5 Structural Engineering Corrections")</f>
        <v>A008.5 Structural Engineering Corrections</v>
      </c>
      <c r="D71" s="4">
        <f>IFERROR(__xludf.DUMMYFUNCTION("""COMPUTED_VALUE"""),1218413.0)</f>
        <v>1218413</v>
      </c>
      <c r="E71" s="5" t="s">
        <v>20</v>
      </c>
      <c r="J71" s="2" t="s">
        <v>25</v>
      </c>
      <c r="K71" s="2" t="s">
        <v>25</v>
      </c>
      <c r="L71" s="2" t="s">
        <v>40</v>
      </c>
      <c r="M71" s="5" t="s">
        <v>37</v>
      </c>
      <c r="N71" s="5" t="s">
        <v>37</v>
      </c>
      <c r="O71" s="5" t="s">
        <v>37</v>
      </c>
      <c r="S71" s="6"/>
      <c r="T71" s="6"/>
      <c r="U71" s="6"/>
      <c r="V71" s="6"/>
      <c r="W71" s="6"/>
      <c r="X71" s="6"/>
    </row>
    <row r="72">
      <c r="A72" s="1" t="str">
        <f>IFERROR(__xludf.DUMMYFUNCTION("""COMPUTED_VALUE"""),"2507-492")</f>
        <v>2507-492</v>
      </c>
      <c r="B72" s="1" t="str">
        <f>IFERROR(__xludf.DUMMYFUNCTION("""COMPUTED_VALUE"""),"Zenjay-Perris-Prefab-ADU's")</f>
        <v>Zenjay-Perris-Prefab-ADU's</v>
      </c>
      <c r="C72" s="1" t="str">
        <f>IFERROR(__xludf.DUMMYFUNCTION("""COMPUTED_VALUE"""),"Abandoned,Expired")</f>
        <v>Abandoned,Expired</v>
      </c>
      <c r="D72" s="4">
        <f>IFERROR(__xludf.DUMMYFUNCTION("""COMPUTED_VALUE"""),1181418.0)</f>
        <v>1181418</v>
      </c>
      <c r="E72" s="5" t="s">
        <v>34</v>
      </c>
      <c r="J72" s="2" t="s">
        <v>36</v>
      </c>
      <c r="K72" s="2" t="s">
        <v>39</v>
      </c>
      <c r="L72" s="2" t="s">
        <v>22</v>
      </c>
      <c r="M72" s="5" t="s">
        <v>27</v>
      </c>
      <c r="N72" s="5" t="s">
        <v>48</v>
      </c>
      <c r="O72" s="2" t="s">
        <v>37</v>
      </c>
      <c r="S72" s="6"/>
      <c r="T72" s="6"/>
      <c r="U72" s="3">
        <v>46006.39087096065</v>
      </c>
      <c r="V72" s="6"/>
      <c r="W72" s="6"/>
      <c r="X72" s="6"/>
    </row>
    <row r="73">
      <c r="A73" s="1" t="str">
        <f>IFERROR(__xludf.DUMMYFUNCTION("""COMPUTED_VALUE"""),"2507-491")</f>
        <v>2507-491</v>
      </c>
      <c r="B73" s="1" t="str">
        <f>IFERROR(__xludf.DUMMYFUNCTION("""COMPUTED_VALUE"""),"Gallagher-SB-Remodel-Addition")</f>
        <v>Gallagher-SB-Remodel-Addition</v>
      </c>
      <c r="C73" s="1" t="str">
        <f>IFERROR(__xludf.DUMMYFUNCTION("""COMPUTED_VALUE"""),"A008.2 Architectural Comment Responses")</f>
        <v>A008.2 Architectural Comment Responses</v>
      </c>
      <c r="D73" s="4">
        <f>IFERROR(__xludf.DUMMYFUNCTION("""COMPUTED_VALUE"""),1180119.0)</f>
        <v>1180119</v>
      </c>
      <c r="E73" s="5" t="s">
        <v>20</v>
      </c>
      <c r="J73" s="2" t="s">
        <v>36</v>
      </c>
      <c r="K73" s="2" t="s">
        <v>33</v>
      </c>
      <c r="L73" s="2" t="s">
        <v>39</v>
      </c>
      <c r="M73" s="5" t="s">
        <v>37</v>
      </c>
      <c r="N73" s="5" t="s">
        <v>44</v>
      </c>
      <c r="O73" s="5" t="s">
        <v>27</v>
      </c>
      <c r="S73" s="6"/>
      <c r="T73" s="6"/>
      <c r="U73" s="6"/>
      <c r="V73" s="6"/>
      <c r="W73" s="6"/>
      <c r="X73" s="6"/>
    </row>
    <row r="74">
      <c r="A74" s="1" t="str">
        <f>IFERROR(__xludf.DUMMYFUNCTION("""COMPUTED_VALUE"""),"2507-490")</f>
        <v>2507-490</v>
      </c>
      <c r="B74" s="1" t="str">
        <f>IFERROR(__xludf.DUMMYFUNCTION("""COMPUTED_VALUE"""),"Campos-SLO-Remodel-Plans-Takeover")</f>
        <v>Campos-SLO-Remodel-Plans-Takeover</v>
      </c>
      <c r="C74" s="1" t="str">
        <f>IFERROR(__xludf.DUMMYFUNCTION("""COMPUTED_VALUE"""),"A008.2 Architectural Comment Responses")</f>
        <v>A008.2 Architectural Comment Responses</v>
      </c>
      <c r="D74" s="4">
        <f>IFERROR(__xludf.DUMMYFUNCTION("""COMPUTED_VALUE"""),1179952.0)</f>
        <v>1179952</v>
      </c>
      <c r="E74" s="5" t="s">
        <v>20</v>
      </c>
      <c r="J74" s="2" t="s">
        <v>40</v>
      </c>
      <c r="K74" s="2" t="s">
        <v>39</v>
      </c>
      <c r="L74" s="2" t="s">
        <v>50</v>
      </c>
      <c r="M74" s="5" t="s">
        <v>24</v>
      </c>
      <c r="N74" s="5" t="s">
        <v>27</v>
      </c>
      <c r="O74" s="5" t="s">
        <v>48</v>
      </c>
      <c r="S74" s="6"/>
      <c r="T74" s="6"/>
      <c r="U74" s="6"/>
      <c r="V74" s="6"/>
      <c r="W74" s="6"/>
      <c r="X74" s="6"/>
    </row>
    <row r="75">
      <c r="A75" s="1" t="str">
        <f>IFERROR(__xludf.DUMMYFUNCTION("""COMPUTED_VALUE"""),"2507-489")</f>
        <v>2507-489</v>
      </c>
      <c r="B75" s="1" t="str">
        <f>IFERROR(__xludf.DUMMYFUNCTION("""COMPUTED_VALUE"""),"McAllindin-San-Diego-New-SFH")</f>
        <v>McAllindin-San-Diego-New-SFH</v>
      </c>
      <c r="C75" s="1" t="str">
        <f>IFERROR(__xludf.DUMMYFUNCTION("""COMPUTED_VALUE"""),"Paused - Stalled by 3rd Party")</f>
        <v>Paused - Stalled by 3rd Party</v>
      </c>
      <c r="D75" s="4">
        <f>IFERROR(__xludf.DUMMYFUNCTION("""COMPUTED_VALUE"""),1178999.0)</f>
        <v>1178999</v>
      </c>
      <c r="E75" s="5" t="s">
        <v>34</v>
      </c>
      <c r="J75" s="2" t="s">
        <v>40</v>
      </c>
      <c r="K75" s="2" t="s">
        <v>22</v>
      </c>
      <c r="L75" s="2" t="s">
        <v>39</v>
      </c>
      <c r="M75" s="5" t="s">
        <v>37</v>
      </c>
      <c r="N75" s="5" t="s">
        <v>24</v>
      </c>
      <c r="O75" s="5" t="s">
        <v>24</v>
      </c>
      <c r="S75" s="6"/>
      <c r="T75" s="6"/>
      <c r="U75" s="6"/>
      <c r="V75" s="6"/>
      <c r="W75" s="6"/>
      <c r="X75" s="6"/>
    </row>
    <row r="76">
      <c r="A76" s="1" t="str">
        <f>IFERROR(__xludf.DUMMYFUNCTION("""COMPUTED_VALUE"""),"2507-488")</f>
        <v>2507-488</v>
      </c>
      <c r="B76" s="1" t="str">
        <f>IFERROR(__xludf.DUMMYFUNCTION("""COMPUTED_VALUE"""),"Ho-Long-Beach-FROG-JADU")</f>
        <v>Ho-Long-Beach-FROG-JADU</v>
      </c>
      <c r="C76" s="1" t="str">
        <f>IFERROR(__xludf.DUMMYFUNCTION("""COMPUTED_VALUE"""),"A005.8 - Planning Submittal Pending")</f>
        <v>A005.8 - Planning Submittal Pending</v>
      </c>
      <c r="D76" s="4">
        <f>IFERROR(__xludf.DUMMYFUNCTION("""COMPUTED_VALUE"""),1178993.0)</f>
        <v>1178993</v>
      </c>
      <c r="E76" s="5" t="s">
        <v>20</v>
      </c>
      <c r="J76" s="2" t="s">
        <v>26</v>
      </c>
      <c r="K76" s="2" t="s">
        <v>33</v>
      </c>
      <c r="L76" s="2" t="s">
        <v>51</v>
      </c>
      <c r="M76" s="5" t="s">
        <v>24</v>
      </c>
      <c r="N76" s="5" t="s">
        <v>44</v>
      </c>
      <c r="O76" s="5" t="s">
        <v>44</v>
      </c>
      <c r="S76" s="6"/>
      <c r="T76" s="6"/>
      <c r="U76" s="6"/>
      <c r="V76" s="6"/>
      <c r="W76" s="6"/>
      <c r="X76" s="6"/>
    </row>
    <row r="77">
      <c r="A77" s="1" t="str">
        <f>IFERROR(__xludf.DUMMYFUNCTION("""COMPUTED_VALUE"""),"2507-487")</f>
        <v>2507-487</v>
      </c>
      <c r="B77" s="1" t="str">
        <f>IFERROR(__xludf.DUMMYFUNCTION("""COMPUTED_VALUE"""),"Anaheim-Struct-Visit-and-Report")</f>
        <v>Anaheim-Struct-Visit-and-Report</v>
      </c>
      <c r="C77" s="1" t="str">
        <f>IFERROR(__xludf.DUMMYFUNCTION("""COMPUTED_VALUE"""),"Completed - Sent to Client")</f>
        <v>Completed - Sent to Client</v>
      </c>
      <c r="D77" s="4">
        <f>IFERROR(__xludf.DUMMYFUNCTION("""COMPUTED_VALUE"""),1178979.0)</f>
        <v>1178979</v>
      </c>
      <c r="E77" s="5" t="s">
        <v>20</v>
      </c>
      <c r="J77" s="2" t="s">
        <v>23</v>
      </c>
      <c r="K77" s="2" t="s">
        <v>33</v>
      </c>
      <c r="L77" s="2" t="s">
        <v>51</v>
      </c>
      <c r="M77" s="5" t="s">
        <v>44</v>
      </c>
      <c r="N77" s="5" t="s">
        <v>24</v>
      </c>
      <c r="O77" s="5" t="s">
        <v>37</v>
      </c>
      <c r="S77" s="6"/>
      <c r="T77" s="3">
        <v>46005.22544556713</v>
      </c>
      <c r="U77" s="6"/>
      <c r="V77" s="6"/>
      <c r="W77" s="6"/>
      <c r="X77" s="6"/>
    </row>
    <row r="78">
      <c r="A78" s="1" t="str">
        <f>IFERROR(__xludf.DUMMYFUNCTION("""COMPUTED_VALUE"""),"2507-486")</f>
        <v>2507-486</v>
      </c>
      <c r="B78" s="1" t="str">
        <f>IFERROR(__xludf.DUMMYFUNCTION("""COMPUTED_VALUE"""),"Casey-Pauma-Valley-GADU")</f>
        <v>Casey-Pauma-Valley-GADU</v>
      </c>
      <c r="C78" s="1" t="str">
        <f>IFERROR(__xludf.DUMMYFUNCTION("""COMPUTED_VALUE"""),"Abandoned,Expired")</f>
        <v>Abandoned,Expired</v>
      </c>
      <c r="D78" s="4">
        <f>IFERROR(__xludf.DUMMYFUNCTION("""COMPUTED_VALUE"""),1178954.0)</f>
        <v>1178954</v>
      </c>
      <c r="E78" s="5" t="s">
        <v>20</v>
      </c>
      <c r="J78" s="2" t="s">
        <v>51</v>
      </c>
      <c r="K78" s="2" t="s">
        <v>40</v>
      </c>
      <c r="L78" s="2" t="s">
        <v>50</v>
      </c>
      <c r="M78" s="5" t="s">
        <v>48</v>
      </c>
      <c r="N78" s="5" t="s">
        <v>37</v>
      </c>
      <c r="O78" s="5" t="s">
        <v>37</v>
      </c>
      <c r="S78" s="6"/>
      <c r="T78" s="6"/>
      <c r="U78" s="6"/>
      <c r="V78" s="6"/>
      <c r="W78" s="6"/>
      <c r="X78" s="6"/>
    </row>
    <row r="79">
      <c r="A79" s="1" t="str">
        <f>IFERROR(__xludf.DUMMYFUNCTION("""COMPUTED_VALUE"""),"2507-485")</f>
        <v>2507-485</v>
      </c>
      <c r="B79" s="1" t="str">
        <f>IFERROR(__xludf.DUMMYFUNCTION("""COMPUTED_VALUE"""),"Zhunussova-Big-Bear-Plot-Map")</f>
        <v>Zhunussova-Big-Bear-Plot-Map</v>
      </c>
      <c r="C79" s="1" t="str">
        <f>IFERROR(__xludf.DUMMYFUNCTION("""COMPUTED_VALUE"""),"A007.8 Pending Submittal")</f>
        <v>A007.8 Pending Submittal</v>
      </c>
      <c r="D79" s="4">
        <f>IFERROR(__xludf.DUMMYFUNCTION("""COMPUTED_VALUE"""),1174801.0)</f>
        <v>1174801</v>
      </c>
      <c r="E79" s="5" t="s">
        <v>34</v>
      </c>
      <c r="J79" s="2" t="s">
        <v>51</v>
      </c>
      <c r="K79" s="2" t="s">
        <v>39</v>
      </c>
      <c r="L79" s="2" t="s">
        <v>42</v>
      </c>
      <c r="M79" s="5" t="s">
        <v>44</v>
      </c>
      <c r="N79" s="5" t="s">
        <v>24</v>
      </c>
      <c r="O79" s="5" t="s">
        <v>24</v>
      </c>
      <c r="S79" s="6"/>
      <c r="T79" s="6"/>
      <c r="U79" s="6"/>
      <c r="V79" s="6"/>
      <c r="W79" s="6"/>
      <c r="X79" s="6"/>
    </row>
    <row r="80">
      <c r="A80" s="1" t="str">
        <f>IFERROR(__xludf.DUMMYFUNCTION("""COMPUTED_VALUE"""),"2507-484")</f>
        <v>2507-484</v>
      </c>
      <c r="B80" s="1" t="str">
        <f>IFERROR(__xludf.DUMMYFUNCTION("""COMPUTED_VALUE"""),"Choate-Rancho-Mirage-Addition")</f>
        <v>Choate-Rancho-Mirage-Addition</v>
      </c>
      <c r="C80" s="1" t="str">
        <f>IFERROR(__xludf.DUMMYFUNCTION("""COMPUTED_VALUE"""),"A008 Submitted - Waiting on Others")</f>
        <v>A008 Submitted - Waiting on Others</v>
      </c>
      <c r="D80" s="4">
        <f>IFERROR(__xludf.DUMMYFUNCTION("""COMPUTED_VALUE"""),1174786.0)</f>
        <v>1174786</v>
      </c>
      <c r="E80" s="5" t="s">
        <v>20</v>
      </c>
      <c r="J80" s="2" t="s">
        <v>33</v>
      </c>
      <c r="K80" s="2" t="s">
        <v>40</v>
      </c>
      <c r="L80" s="2" t="s">
        <v>39</v>
      </c>
      <c r="M80" s="5" t="s">
        <v>37</v>
      </c>
      <c r="N80" s="5" t="s">
        <v>48</v>
      </c>
      <c r="O80" s="5" t="s">
        <v>44</v>
      </c>
      <c r="S80" s="6"/>
      <c r="T80" s="6"/>
      <c r="U80" s="6"/>
      <c r="V80" s="6"/>
      <c r="W80" s="6"/>
      <c r="X80" s="6"/>
    </row>
    <row r="81">
      <c r="A81" s="1" t="str">
        <f>IFERROR(__xludf.DUMMYFUNCTION("""COMPUTED_VALUE"""),"2507-483")</f>
        <v>2507-483</v>
      </c>
      <c r="B81" s="1" t="str">
        <f>IFERROR(__xludf.DUMMYFUNCTION("""COMPUTED_VALUE"""),"Peters-LA-Patio-Fence-Permitting")</f>
        <v>Peters-LA-Patio-Fence-Permitting</v>
      </c>
      <c r="C81" s="1" t="str">
        <f>IFERROR(__xludf.DUMMYFUNCTION("""COMPUTED_VALUE"""),"A009 Resubmitted")</f>
        <v>A009 Resubmitted</v>
      </c>
      <c r="D81" s="4">
        <f>IFERROR(__xludf.DUMMYFUNCTION("""COMPUTED_VALUE"""),1172965.0)</f>
        <v>1172965</v>
      </c>
      <c r="E81" s="5" t="s">
        <v>20</v>
      </c>
      <c r="J81" s="2" t="s">
        <v>43</v>
      </c>
      <c r="K81" s="2" t="s">
        <v>51</v>
      </c>
      <c r="L81" s="2" t="s">
        <v>22</v>
      </c>
      <c r="M81" s="5" t="s">
        <v>24</v>
      </c>
      <c r="N81" s="5" t="s">
        <v>44</v>
      </c>
      <c r="O81" s="5" t="s">
        <v>27</v>
      </c>
      <c r="S81" s="6"/>
      <c r="T81" s="6"/>
      <c r="U81" s="6"/>
      <c r="V81" s="6"/>
      <c r="W81" s="6"/>
      <c r="X81" s="6"/>
    </row>
    <row r="82">
      <c r="A82" s="1" t="str">
        <f>IFERROR(__xludf.DUMMYFUNCTION("""COMPUTED_VALUE"""),"2507-482")</f>
        <v>2507-482</v>
      </c>
      <c r="B82" s="1" t="str">
        <f>IFERROR(__xludf.DUMMYFUNCTION("""COMPUTED_VALUE"""),"Kapoor-Rpv-Site-Plan")</f>
        <v>Kapoor-Rpv-Site-Plan</v>
      </c>
      <c r="C82" s="1" t="str">
        <f>IFERROR(__xludf.DUMMYFUNCTION("""COMPUTED_VALUE"""),"A008 Submitted - Waiting on Others")</f>
        <v>A008 Submitted - Waiting on Others</v>
      </c>
      <c r="D82" s="4">
        <f>IFERROR(__xludf.DUMMYFUNCTION("""COMPUTED_VALUE"""),1172913.0)</f>
        <v>1172913</v>
      </c>
      <c r="E82" s="5" t="s">
        <v>34</v>
      </c>
      <c r="J82" s="2" t="s">
        <v>25</v>
      </c>
      <c r="K82" s="2" t="s">
        <v>36</v>
      </c>
      <c r="L82" s="2" t="s">
        <v>21</v>
      </c>
      <c r="M82" s="5" t="s">
        <v>37</v>
      </c>
      <c r="N82" s="5" t="s">
        <v>44</v>
      </c>
      <c r="O82" s="5" t="s">
        <v>24</v>
      </c>
      <c r="S82" s="6"/>
      <c r="T82" s="6"/>
      <c r="U82" s="6"/>
      <c r="V82" s="6"/>
      <c r="W82" s="6"/>
      <c r="X82" s="6"/>
    </row>
    <row r="83">
      <c r="A83" s="1" t="str">
        <f>IFERROR(__xludf.DUMMYFUNCTION("""COMPUTED_VALUE"""),"2507-481")</f>
        <v>2507-481</v>
      </c>
      <c r="B83" s="1" t="str">
        <f>IFERROR(__xludf.DUMMYFUNCTION("""COMPUTED_VALUE"""),"Miller-LA-JADU-Room")</f>
        <v>Miller-LA-JADU-Room</v>
      </c>
      <c r="C83" s="1" t="str">
        <f>IFERROR(__xludf.DUMMYFUNCTION("""COMPUTED_VALUE"""),"Approved - Construction Phase")</f>
        <v>Approved - Construction Phase</v>
      </c>
      <c r="D83" s="4">
        <f>IFERROR(__xludf.DUMMYFUNCTION("""COMPUTED_VALUE"""),1168294.0)</f>
        <v>1168294</v>
      </c>
      <c r="E83" s="5" t="s">
        <v>34</v>
      </c>
      <c r="J83" s="2" t="s">
        <v>22</v>
      </c>
      <c r="K83" s="2" t="s">
        <v>25</v>
      </c>
      <c r="L83" s="2" t="s">
        <v>47</v>
      </c>
      <c r="M83" s="5" t="s">
        <v>37</v>
      </c>
      <c r="N83" s="5" t="s">
        <v>24</v>
      </c>
      <c r="O83" s="5" t="s">
        <v>24</v>
      </c>
      <c r="S83" s="6"/>
      <c r="T83" s="6"/>
      <c r="U83" s="6"/>
      <c r="V83" s="6"/>
      <c r="W83" s="6"/>
      <c r="X83" s="6"/>
    </row>
    <row r="84">
      <c r="A84" s="1" t="str">
        <f>IFERROR(__xludf.DUMMYFUNCTION("""COMPUTED_VALUE"""),"2507-480")</f>
        <v>2507-480</v>
      </c>
      <c r="B84" s="1" t="str">
        <f>IFERROR(__xludf.DUMMYFUNCTION("""COMPUTED_VALUE"""),"Cheung-Alhambra-Kitchen-Remodel-Permitting")</f>
        <v>Cheung-Alhambra-Kitchen-Remodel-Permitting</v>
      </c>
      <c r="C84" s="1" t="str">
        <f>IFERROR(__xludf.DUMMYFUNCTION("""COMPUTED_VALUE"""),"A008 Submitted - Waiting on Others")</f>
        <v>A008 Submitted - Waiting on Others</v>
      </c>
      <c r="D84" s="4">
        <f>IFERROR(__xludf.DUMMYFUNCTION("""COMPUTED_VALUE"""),1168504.0)</f>
        <v>1168504</v>
      </c>
      <c r="E84" s="5" t="s">
        <v>20</v>
      </c>
      <c r="J84" s="2" t="s">
        <v>50</v>
      </c>
      <c r="K84" s="2" t="s">
        <v>49</v>
      </c>
      <c r="L84" s="2" t="s">
        <v>43</v>
      </c>
      <c r="M84" s="5" t="s">
        <v>44</v>
      </c>
      <c r="N84" s="5" t="s">
        <v>37</v>
      </c>
      <c r="O84" s="5" t="s">
        <v>48</v>
      </c>
      <c r="S84" s="6"/>
      <c r="T84" s="6"/>
      <c r="U84" s="6"/>
      <c r="V84" s="6"/>
      <c r="W84" s="6"/>
      <c r="X84" s="6"/>
    </row>
    <row r="85">
      <c r="A85" s="1" t="str">
        <f>IFERROR(__xludf.DUMMYFUNCTION("""COMPUTED_VALUE"""),"2507-479")</f>
        <v>2507-479</v>
      </c>
      <c r="B85" s="1" t="str">
        <f>IFERROR(__xludf.DUMMYFUNCTION("""COMPUTED_VALUE"""),"Smith-Inglewood-Remodel")</f>
        <v>Smith-Inglewood-Remodel</v>
      </c>
      <c r="C85" s="1" t="str">
        <f>IFERROR(__xludf.DUMMYFUNCTION("""COMPUTED_VALUE"""),"A005.9 - Submitted to Planning")</f>
        <v>A005.9 - Submitted to Planning</v>
      </c>
      <c r="D85" s="4">
        <f>IFERROR(__xludf.DUMMYFUNCTION("""COMPUTED_VALUE"""),1166217.0)</f>
        <v>1166217</v>
      </c>
      <c r="E85" s="5" t="s">
        <v>20</v>
      </c>
      <c r="J85" s="2" t="s">
        <v>47</v>
      </c>
      <c r="K85" s="2" t="s">
        <v>32</v>
      </c>
      <c r="L85" s="2" t="s">
        <v>32</v>
      </c>
      <c r="M85" s="5" t="s">
        <v>24</v>
      </c>
      <c r="N85" s="5" t="s">
        <v>37</v>
      </c>
      <c r="O85" s="5" t="s">
        <v>48</v>
      </c>
      <c r="S85" s="6"/>
      <c r="T85" s="6"/>
      <c r="U85" s="6"/>
      <c r="V85" s="6"/>
      <c r="W85" s="6"/>
      <c r="X85" s="6"/>
    </row>
    <row r="86">
      <c r="A86" s="1" t="str">
        <f>IFERROR(__xludf.DUMMYFUNCTION("""COMPUTED_VALUE"""),"2507-478")</f>
        <v>2507-478</v>
      </c>
      <c r="B86" s="1" t="str">
        <f>IFERROR(__xludf.DUMMYFUNCTION("""COMPUTED_VALUE"""),"Durazo-Banning-Second-Floor-Plans")</f>
        <v>Durazo-Banning-Second-Floor-Plans</v>
      </c>
      <c r="C86" s="1" t="str">
        <f>IFERROR(__xludf.DUMMYFUNCTION("""COMPUTED_VALUE"""),"A006.5 - Structural Engineering")</f>
        <v>A006.5 - Structural Engineering</v>
      </c>
      <c r="D86" s="4">
        <f>IFERROR(__xludf.DUMMYFUNCTION("""COMPUTED_VALUE"""),1165960.0)</f>
        <v>1165960</v>
      </c>
      <c r="E86" s="5" t="s">
        <v>20</v>
      </c>
      <c r="J86" s="2" t="s">
        <v>49</v>
      </c>
      <c r="K86" s="2" t="s">
        <v>21</v>
      </c>
      <c r="L86" s="2" t="s">
        <v>26</v>
      </c>
      <c r="M86" s="5" t="s">
        <v>27</v>
      </c>
      <c r="N86" s="5" t="s">
        <v>48</v>
      </c>
      <c r="O86" s="5" t="s">
        <v>24</v>
      </c>
      <c r="S86" s="6"/>
      <c r="T86" s="6"/>
      <c r="U86" s="6"/>
      <c r="V86" s="6"/>
      <c r="W86" s="6"/>
      <c r="X86" s="6"/>
    </row>
    <row r="87">
      <c r="A87" s="1" t="str">
        <f>IFERROR(__xludf.DUMMYFUNCTION("""COMPUTED_VALUE"""),"2507-477")</f>
        <v>2507-477</v>
      </c>
      <c r="B87" s="1" t="str">
        <f>IFERROR(__xludf.DUMMYFUNCTION("""COMPUTED_VALUE"""),"Cheung-Alhambra-ADU-Permitting")</f>
        <v>Cheung-Alhambra-ADU-Permitting</v>
      </c>
      <c r="C87" s="1" t="str">
        <f>IFERROR(__xludf.DUMMYFUNCTION("""COMPUTED_VALUE"""),"A008.8 Pending Resubmittal")</f>
        <v>A008.8 Pending Resubmittal</v>
      </c>
      <c r="D87" s="4">
        <f>IFERROR(__xludf.DUMMYFUNCTION("""COMPUTED_VALUE"""),1164846.0)</f>
        <v>1164846</v>
      </c>
      <c r="E87" s="5" t="s">
        <v>34</v>
      </c>
      <c r="J87" s="2" t="s">
        <v>35</v>
      </c>
      <c r="K87" s="2" t="s">
        <v>50</v>
      </c>
      <c r="L87" s="2" t="s">
        <v>42</v>
      </c>
      <c r="M87" s="5" t="s">
        <v>48</v>
      </c>
      <c r="N87" s="5" t="s">
        <v>48</v>
      </c>
      <c r="O87" s="5" t="s">
        <v>44</v>
      </c>
      <c r="S87" s="6"/>
      <c r="T87" s="6"/>
      <c r="U87" s="6"/>
      <c r="V87" s="6"/>
      <c r="W87" s="6"/>
      <c r="X87" s="6"/>
    </row>
    <row r="88">
      <c r="A88" s="1" t="str">
        <f>IFERROR(__xludf.DUMMYFUNCTION("""COMPUTED_VALUE"""),"2507-476")</f>
        <v>2507-476</v>
      </c>
      <c r="B88" s="1" t="str">
        <f>IFERROR(__xludf.DUMMYFUNCTION("""COMPUTED_VALUE"""),"Marcus-LA-GADU")</f>
        <v>Marcus-LA-GADU</v>
      </c>
      <c r="C88" s="1" t="str">
        <f>IFERROR(__xludf.DUMMYFUNCTION("""COMPUTED_VALUE"""),"A008.5 Structural Engineering Corrections")</f>
        <v>A008.5 Structural Engineering Corrections</v>
      </c>
      <c r="D88" s="4">
        <f>IFERROR(__xludf.DUMMYFUNCTION("""COMPUTED_VALUE"""),1163445.0)</f>
        <v>1163445</v>
      </c>
      <c r="E88" s="5" t="s">
        <v>34</v>
      </c>
      <c r="J88" s="2" t="s">
        <v>43</v>
      </c>
      <c r="K88" s="2" t="s">
        <v>25</v>
      </c>
      <c r="L88" s="2" t="s">
        <v>26</v>
      </c>
      <c r="M88" s="5" t="s">
        <v>37</v>
      </c>
      <c r="N88" s="5" t="s">
        <v>37</v>
      </c>
      <c r="O88" s="5" t="s">
        <v>44</v>
      </c>
      <c r="S88" s="6"/>
      <c r="T88" s="6"/>
      <c r="U88" s="6"/>
      <c r="V88" s="6"/>
      <c r="W88" s="6"/>
      <c r="X88" s="6"/>
    </row>
    <row r="89">
      <c r="A89" s="1" t="str">
        <f>IFERROR(__xludf.DUMMYFUNCTION("""COMPUTED_VALUE"""),"2507-475")</f>
        <v>2507-475</v>
      </c>
      <c r="B89" s="1" t="str">
        <f>IFERROR(__xludf.DUMMYFUNCTION("""COMPUTED_VALUE"""),"Isaacs-Altadena-Fire-Rebuild")</f>
        <v>Isaacs-Altadena-Fire-Rebuild</v>
      </c>
      <c r="C89" s="1" t="str">
        <f>IFERROR(__xludf.DUMMYFUNCTION("""COMPUTED_VALUE"""),"A008.6 Arch Packaging Re-Submittal")</f>
        <v>A008.6 Arch Packaging Re-Submittal</v>
      </c>
      <c r="D89" s="4">
        <f>IFERROR(__xludf.DUMMYFUNCTION("""COMPUTED_VALUE"""),1160646.0)</f>
        <v>1160646</v>
      </c>
      <c r="E89" s="5" t="s">
        <v>20</v>
      </c>
      <c r="J89" s="2" t="s">
        <v>22</v>
      </c>
      <c r="K89" s="2" t="s">
        <v>50</v>
      </c>
      <c r="L89" s="2" t="s">
        <v>43</v>
      </c>
      <c r="M89" s="2" t="s">
        <v>27</v>
      </c>
      <c r="N89" s="5" t="s">
        <v>48</v>
      </c>
      <c r="O89" s="5" t="s">
        <v>48</v>
      </c>
      <c r="S89" s="3">
        <v>46006.38589744213</v>
      </c>
      <c r="T89" s="6"/>
      <c r="U89" s="6"/>
      <c r="V89" s="6"/>
      <c r="W89" s="6"/>
      <c r="X89" s="6"/>
    </row>
    <row r="90">
      <c r="A90" s="1" t="str">
        <f>IFERROR(__xludf.DUMMYFUNCTION("""COMPUTED_VALUE"""),"2507-474")</f>
        <v>2507-474</v>
      </c>
      <c r="B90" s="1" t="str">
        <f>IFERROR(__xludf.DUMMYFUNCTION("""COMPUTED_VALUE"""),"Vandenoever-SB-Permitting")</f>
        <v>Vandenoever-SB-Permitting</v>
      </c>
      <c r="C90" s="1" t="str">
        <f>IFERROR(__xludf.DUMMYFUNCTION("""COMPUTED_VALUE"""),"A006.5 - Structural Engineering")</f>
        <v>A006.5 - Structural Engineering</v>
      </c>
      <c r="D90" s="4">
        <f>IFERROR(__xludf.DUMMYFUNCTION("""COMPUTED_VALUE"""),1160590.0)</f>
        <v>1160590</v>
      </c>
      <c r="E90" s="5" t="s">
        <v>20</v>
      </c>
      <c r="J90" s="2" t="s">
        <v>42</v>
      </c>
      <c r="K90" s="2" t="s">
        <v>25</v>
      </c>
      <c r="L90" s="2" t="s">
        <v>22</v>
      </c>
      <c r="M90" s="5" t="s">
        <v>24</v>
      </c>
      <c r="N90" s="5" t="s">
        <v>24</v>
      </c>
      <c r="O90" s="5" t="s">
        <v>24</v>
      </c>
      <c r="S90" s="6"/>
      <c r="T90" s="6"/>
      <c r="U90" s="6"/>
      <c r="V90" s="6"/>
      <c r="W90" s="6"/>
      <c r="X90" s="6"/>
    </row>
    <row r="91">
      <c r="A91" s="1" t="str">
        <f>IFERROR(__xludf.DUMMYFUNCTION("""COMPUTED_VALUE"""),"2507-473")</f>
        <v>2507-473</v>
      </c>
      <c r="B91" s="1" t="str">
        <f>IFERROR(__xludf.DUMMYFUNCTION("""COMPUTED_VALUE"""),"Hao-Rosemead-ADU-Permitting")</f>
        <v>Hao-Rosemead-ADU-Permitting</v>
      </c>
      <c r="C91" s="1" t="str">
        <f>IFERROR(__xludf.DUMMYFUNCTION("""COMPUTED_VALUE"""),"A009 Resubmitted")</f>
        <v>A009 Resubmitted</v>
      </c>
      <c r="D91" s="4">
        <f>IFERROR(__xludf.DUMMYFUNCTION("""COMPUTED_VALUE"""),1160515.0)</f>
        <v>1160515</v>
      </c>
      <c r="E91" s="5" t="s">
        <v>20</v>
      </c>
      <c r="J91" s="2" t="s">
        <v>21</v>
      </c>
      <c r="K91" s="2" t="s">
        <v>49</v>
      </c>
      <c r="L91" s="2" t="s">
        <v>47</v>
      </c>
      <c r="M91" s="5" t="s">
        <v>44</v>
      </c>
      <c r="N91" s="5" t="s">
        <v>24</v>
      </c>
      <c r="O91" s="5" t="s">
        <v>37</v>
      </c>
      <c r="S91" s="6"/>
      <c r="T91" s="6"/>
      <c r="U91" s="6"/>
      <c r="V91" s="6"/>
      <c r="W91" s="6"/>
      <c r="X91" s="6"/>
    </row>
    <row r="92">
      <c r="A92" s="1" t="str">
        <f>IFERROR(__xludf.DUMMYFUNCTION("""COMPUTED_VALUE"""),"2507-472")</f>
        <v>2507-472</v>
      </c>
      <c r="B92" s="1" t="str">
        <f>IFERROR(__xludf.DUMMYFUNCTION("""COMPUTED_VALUE"""),"Zamourka-Phelan-Outbuilding-Permitting")</f>
        <v>Zamourka-Phelan-Outbuilding-Permitting</v>
      </c>
      <c r="C92" s="1" t="str">
        <f>IFERROR(__xludf.DUMMYFUNCTION("""COMPUTED_VALUE"""),"A007.8 Pending Submittal")</f>
        <v>A007.8 Pending Submittal</v>
      </c>
      <c r="D92" s="4">
        <f>IFERROR(__xludf.DUMMYFUNCTION("""COMPUTED_VALUE"""),1160303.0)</f>
        <v>1160303</v>
      </c>
      <c r="E92" s="5" t="s">
        <v>34</v>
      </c>
      <c r="J92" s="2" t="s">
        <v>40</v>
      </c>
      <c r="K92" s="2" t="s">
        <v>47</v>
      </c>
      <c r="L92" s="2" t="s">
        <v>39</v>
      </c>
      <c r="M92" s="5" t="s">
        <v>24</v>
      </c>
      <c r="N92" s="5" t="s">
        <v>44</v>
      </c>
      <c r="O92" s="5" t="s">
        <v>37</v>
      </c>
      <c r="S92" s="6"/>
      <c r="T92" s="6"/>
      <c r="U92" s="6"/>
      <c r="V92" s="6"/>
      <c r="W92" s="6"/>
      <c r="X92" s="6"/>
    </row>
    <row r="93">
      <c r="A93" s="1" t="str">
        <f>IFERROR(__xludf.DUMMYFUNCTION("""COMPUTED_VALUE"""),"2507-471")</f>
        <v>2507-471</v>
      </c>
      <c r="B93" s="1" t="str">
        <f>IFERROR(__xludf.DUMMYFUNCTION("""COMPUTED_VALUE"""),"Law-LA-JADU-Permit")</f>
        <v>Law-LA-JADU-Permit</v>
      </c>
      <c r="C93" s="1" t="str">
        <f>IFERROR(__xludf.DUMMYFUNCTION("""COMPUTED_VALUE"""),"Approved - Construction Phase")</f>
        <v>Approved - Construction Phase</v>
      </c>
      <c r="D93" s="4">
        <f>IFERROR(__xludf.DUMMYFUNCTION("""COMPUTED_VALUE"""),1152093.0)</f>
        <v>1152093</v>
      </c>
      <c r="E93" s="5" t="s">
        <v>20</v>
      </c>
      <c r="J93" s="2" t="s">
        <v>33</v>
      </c>
      <c r="K93" s="2" t="s">
        <v>51</v>
      </c>
      <c r="L93" s="2" t="s">
        <v>33</v>
      </c>
      <c r="M93" s="5" t="s">
        <v>37</v>
      </c>
      <c r="N93" s="5" t="s">
        <v>48</v>
      </c>
      <c r="O93" s="5" t="s">
        <v>27</v>
      </c>
      <c r="S93" s="6"/>
      <c r="T93" s="6"/>
      <c r="U93" s="6"/>
      <c r="V93" s="6"/>
      <c r="W93" s="6"/>
      <c r="X93" s="6"/>
    </row>
    <row r="94">
      <c r="A94" s="1" t="str">
        <f>IFERROR(__xludf.DUMMYFUNCTION("""COMPUTED_VALUE"""),"2506-470")</f>
        <v>2506-470</v>
      </c>
      <c r="B94" s="1" t="str">
        <f>IFERROR(__xludf.DUMMYFUNCTION("""COMPUTED_VALUE"""),"Banuelos-Temecula-Kitchen-Remodel")</f>
        <v>Banuelos-Temecula-Kitchen-Remodel</v>
      </c>
      <c r="C94" s="1" t="str">
        <f>IFERROR(__xludf.DUMMYFUNCTION("""COMPUTED_VALUE"""),"A008 Submitted - Waiting on Others")</f>
        <v>A008 Submitted - Waiting on Others</v>
      </c>
      <c r="D94" s="4">
        <f>IFERROR(__xludf.DUMMYFUNCTION("""COMPUTED_VALUE"""),1150298.0)</f>
        <v>1150298</v>
      </c>
      <c r="E94" s="5" t="s">
        <v>34</v>
      </c>
      <c r="J94" s="2" t="s">
        <v>47</v>
      </c>
      <c r="K94" s="2" t="s">
        <v>51</v>
      </c>
      <c r="L94" s="2" t="s">
        <v>47</v>
      </c>
      <c r="M94" s="5" t="s">
        <v>24</v>
      </c>
      <c r="N94" s="5" t="s">
        <v>44</v>
      </c>
      <c r="O94" s="5" t="s">
        <v>24</v>
      </c>
      <c r="S94" s="6"/>
      <c r="T94" s="6"/>
      <c r="U94" s="6"/>
      <c r="V94" s="6"/>
      <c r="W94" s="6"/>
      <c r="X94" s="6"/>
    </row>
    <row r="95">
      <c r="A95" s="1" t="str">
        <f>IFERROR(__xludf.DUMMYFUNCTION("""COMPUTED_VALUE"""),"2506-469")</f>
        <v>2506-469</v>
      </c>
      <c r="B95" s="1" t="str">
        <f>IFERROR(__xludf.DUMMYFUNCTION("""COMPUTED_VALUE"""),"Jiang-Oceanside-Remodel")</f>
        <v>Jiang-Oceanside-Remodel</v>
      </c>
      <c r="C95" s="1" t="str">
        <f>IFERROR(__xludf.DUMMYFUNCTION("""COMPUTED_VALUE"""),"Approved - Construction Phase")</f>
        <v>Approved - Construction Phase</v>
      </c>
      <c r="D95" s="4">
        <f>IFERROR(__xludf.DUMMYFUNCTION("""COMPUTED_VALUE"""),1149044.0)</f>
        <v>1149044</v>
      </c>
      <c r="E95" s="5" t="s">
        <v>20</v>
      </c>
      <c r="J95" s="2" t="s">
        <v>35</v>
      </c>
      <c r="K95" s="2" t="s">
        <v>32</v>
      </c>
      <c r="L95" s="2" t="s">
        <v>43</v>
      </c>
      <c r="M95" s="5" t="s">
        <v>27</v>
      </c>
      <c r="N95" s="5" t="s">
        <v>27</v>
      </c>
      <c r="O95" s="5" t="s">
        <v>27</v>
      </c>
      <c r="S95" s="6"/>
      <c r="T95" s="6"/>
      <c r="U95" s="6"/>
      <c r="V95" s="6"/>
      <c r="W95" s="6"/>
      <c r="X95" s="6"/>
    </row>
    <row r="96">
      <c r="A96" s="1" t="str">
        <f>IFERROR(__xludf.DUMMYFUNCTION("""COMPUTED_VALUE"""),"2506-468")</f>
        <v>2506-468</v>
      </c>
      <c r="B96" s="1" t="str">
        <f>IFERROR(__xludf.DUMMYFUNCTION("""COMPUTED_VALUE"""),"Pena-Arrowhead-Coffee-Shop-Site-Plan")</f>
        <v>Pena-Arrowhead-Coffee-Shop-Site-Plan</v>
      </c>
      <c r="C96" s="1" t="str">
        <f>IFERROR(__xludf.DUMMYFUNCTION("""COMPUTED_VALUE"""),"Completed - Sent to Client")</f>
        <v>Completed - Sent to Client</v>
      </c>
      <c r="D96" s="4">
        <f>IFERROR(__xludf.DUMMYFUNCTION("""COMPUTED_VALUE"""),1149038.0)</f>
        <v>1149038</v>
      </c>
      <c r="E96" s="5" t="s">
        <v>34</v>
      </c>
      <c r="J96" s="2" t="s">
        <v>35</v>
      </c>
      <c r="K96" s="2" t="s">
        <v>39</v>
      </c>
      <c r="L96" s="2" t="s">
        <v>32</v>
      </c>
      <c r="M96" s="5" t="s">
        <v>44</v>
      </c>
      <c r="N96" s="5" t="s">
        <v>27</v>
      </c>
      <c r="O96" s="5" t="s">
        <v>27</v>
      </c>
      <c r="S96" s="6"/>
      <c r="T96" s="6"/>
      <c r="U96" s="6"/>
      <c r="V96" s="6"/>
      <c r="W96" s="6"/>
      <c r="X96" s="6"/>
    </row>
    <row r="97">
      <c r="A97" s="1" t="str">
        <f>IFERROR(__xludf.DUMMYFUNCTION("""COMPUTED_VALUE"""),"2506-467")</f>
        <v>2506-467</v>
      </c>
      <c r="B97" s="1" t="str">
        <f>IFERROR(__xludf.DUMMYFUNCTION("""COMPUTED_VALUE"""),"Velasco-Northridge-ADU")</f>
        <v>Velasco-Northridge-ADU</v>
      </c>
      <c r="C97" s="1" t="str">
        <f>IFERROR(__xludf.DUMMYFUNCTION("""COMPUTED_VALUE"""),"Approved - Construction Phase")</f>
        <v>Approved - Construction Phase</v>
      </c>
      <c r="D97" s="4">
        <f>IFERROR(__xludf.DUMMYFUNCTION("""COMPUTED_VALUE"""),1148957.0)</f>
        <v>1148957</v>
      </c>
      <c r="E97" s="5" t="s">
        <v>20</v>
      </c>
      <c r="J97" s="2" t="s">
        <v>35</v>
      </c>
      <c r="K97" s="2" t="s">
        <v>36</v>
      </c>
      <c r="L97" s="2" t="s">
        <v>33</v>
      </c>
      <c r="M97" s="5" t="s">
        <v>48</v>
      </c>
      <c r="N97" s="5" t="s">
        <v>44</v>
      </c>
      <c r="O97" s="5" t="s">
        <v>48</v>
      </c>
      <c r="S97" s="6"/>
      <c r="T97" s="6"/>
      <c r="U97" s="6"/>
      <c r="V97" s="6"/>
      <c r="W97" s="6"/>
      <c r="X97" s="6"/>
    </row>
    <row r="98">
      <c r="A98" s="1" t="str">
        <f>IFERROR(__xludf.DUMMYFUNCTION("""COMPUTED_VALUE"""),"2506-466")</f>
        <v>2506-466</v>
      </c>
      <c r="B98" s="1" t="str">
        <f>IFERROR(__xludf.DUMMYFUNCTION("""COMPUTED_VALUE"""),"Shears-Santa-Ana-Site-Plan")</f>
        <v>Shears-Santa-Ana-Site-Plan</v>
      </c>
      <c r="C98" s="1" t="str">
        <f>IFERROR(__xludf.DUMMYFUNCTION("""COMPUTED_VALUE"""),"Completed - Sent to Client")</f>
        <v>Completed - Sent to Client</v>
      </c>
      <c r="D98" s="4">
        <f>IFERROR(__xludf.DUMMYFUNCTION("""COMPUTED_VALUE"""),1145089.0)</f>
        <v>1145089</v>
      </c>
      <c r="E98" s="5" t="s">
        <v>20</v>
      </c>
      <c r="J98" s="2" t="s">
        <v>35</v>
      </c>
      <c r="K98" s="2" t="s">
        <v>39</v>
      </c>
      <c r="L98" s="2" t="s">
        <v>21</v>
      </c>
      <c r="M98" s="5" t="s">
        <v>44</v>
      </c>
      <c r="N98" s="5" t="s">
        <v>48</v>
      </c>
      <c r="O98" s="5" t="s">
        <v>44</v>
      </c>
      <c r="S98" s="6"/>
      <c r="T98" s="6"/>
      <c r="U98" s="6"/>
      <c r="V98" s="6"/>
      <c r="W98" s="6"/>
      <c r="X98" s="6"/>
    </row>
    <row r="99">
      <c r="A99" s="1" t="str">
        <f>IFERROR(__xludf.DUMMYFUNCTION("""COMPUTED_VALUE"""),"2506-465")</f>
        <v>2506-465</v>
      </c>
      <c r="B99" s="1" t="str">
        <f>IFERROR(__xludf.DUMMYFUNCTION("""COMPUTED_VALUE"""),"Akhavan-Palisades-SFH-Fire-Rebuild")</f>
        <v>Akhavan-Palisades-SFH-Fire-Rebuild</v>
      </c>
      <c r="C99" s="1" t="str">
        <f>IFERROR(__xludf.DUMMYFUNCTION("""COMPUTED_VALUE"""),"A008.2 Architectural Comment Responses")</f>
        <v>A008.2 Architectural Comment Responses</v>
      </c>
      <c r="D99" s="4">
        <f>IFERROR(__xludf.DUMMYFUNCTION("""COMPUTED_VALUE"""),1143685.0)</f>
        <v>1143685</v>
      </c>
      <c r="E99" s="5" t="s">
        <v>20</v>
      </c>
      <c r="J99" s="2" t="s">
        <v>39</v>
      </c>
      <c r="K99" s="2" t="s">
        <v>23</v>
      </c>
      <c r="L99" s="2" t="s">
        <v>42</v>
      </c>
      <c r="M99" s="5" t="s">
        <v>44</v>
      </c>
      <c r="N99" s="5" t="s">
        <v>37</v>
      </c>
      <c r="O99" s="5" t="s">
        <v>27</v>
      </c>
      <c r="S99" s="6"/>
      <c r="T99" s="6"/>
      <c r="U99" s="6"/>
      <c r="V99" s="6"/>
      <c r="W99" s="6"/>
      <c r="X99" s="6"/>
    </row>
    <row r="100">
      <c r="A100" s="1" t="str">
        <f>IFERROR(__xludf.DUMMYFUNCTION("""COMPUTED_VALUE"""),"2506-464")</f>
        <v>2506-464</v>
      </c>
      <c r="B100" s="1" t="str">
        <f>IFERROR(__xludf.DUMMYFUNCTION("""COMPUTED_VALUE"""),"Bush-Coronado-Remodel")</f>
        <v>Bush-Coronado-Remodel</v>
      </c>
      <c r="C100" s="1" t="str">
        <f>IFERROR(__xludf.DUMMYFUNCTION("""COMPUTED_VALUE"""),"A008.2 Architectural Comment Responses")</f>
        <v>A008.2 Architectural Comment Responses</v>
      </c>
      <c r="D100" s="4">
        <f>IFERROR(__xludf.DUMMYFUNCTION("""COMPUTED_VALUE"""),1140877.0)</f>
        <v>1140877</v>
      </c>
      <c r="E100" s="5" t="s">
        <v>34</v>
      </c>
      <c r="J100" s="2" t="s">
        <v>21</v>
      </c>
      <c r="K100" s="2" t="s">
        <v>47</v>
      </c>
      <c r="L100" s="2" t="s">
        <v>23</v>
      </c>
      <c r="M100" s="5" t="s">
        <v>24</v>
      </c>
      <c r="N100" s="5" t="s">
        <v>27</v>
      </c>
      <c r="O100" s="5" t="s">
        <v>37</v>
      </c>
      <c r="S100" s="6"/>
      <c r="T100" s="6"/>
      <c r="U100" s="6"/>
      <c r="V100" s="6"/>
      <c r="W100" s="6"/>
      <c r="X100" s="6"/>
    </row>
    <row r="101">
      <c r="A101" s="1" t="str">
        <f>IFERROR(__xludf.DUMMYFUNCTION("""COMPUTED_VALUE"""),"2506-463")</f>
        <v>2506-463</v>
      </c>
      <c r="B101" s="1" t="str">
        <f>IFERROR(__xludf.DUMMYFUNCTION("""COMPUTED_VALUE"""),"O'Hearn-Palm-Springs-GADU-Master-Remodel")</f>
        <v>O'Hearn-Palm-Springs-GADU-Master-Remodel</v>
      </c>
      <c r="C101" s="1" t="str">
        <f>IFERROR(__xludf.DUMMYFUNCTION("""COMPUTED_VALUE"""),"A009 Resubmitted")</f>
        <v>A009 Resubmitted</v>
      </c>
      <c r="D101" s="4">
        <f>IFERROR(__xludf.DUMMYFUNCTION("""COMPUTED_VALUE"""),1132703.0)</f>
        <v>1132703</v>
      </c>
      <c r="E101" s="5" t="s">
        <v>34</v>
      </c>
      <c r="J101" s="2" t="s">
        <v>26</v>
      </c>
      <c r="K101" s="2" t="s">
        <v>23</v>
      </c>
      <c r="L101" s="2" t="s">
        <v>43</v>
      </c>
      <c r="M101" s="5" t="s">
        <v>44</v>
      </c>
      <c r="N101" s="5" t="s">
        <v>44</v>
      </c>
      <c r="O101" s="5" t="s">
        <v>44</v>
      </c>
      <c r="S101" s="6"/>
      <c r="T101" s="6"/>
      <c r="U101" s="6"/>
      <c r="V101" s="6"/>
      <c r="W101" s="6"/>
      <c r="X101" s="6"/>
    </row>
    <row r="102">
      <c r="A102" s="1" t="str">
        <f>IFERROR(__xludf.DUMMYFUNCTION("""COMPUTED_VALUE"""),"2506-462")</f>
        <v>2506-462</v>
      </c>
      <c r="B102" s="1" t="str">
        <f>IFERROR(__xludf.DUMMYFUNCTION("""COMPUTED_VALUE"""),"Lopez-Riverside-ADU")</f>
        <v>Lopez-Riverside-ADU</v>
      </c>
      <c r="C102" s="1" t="str">
        <f>IFERROR(__xludf.DUMMYFUNCTION("""COMPUTED_VALUE"""),"A008 Submitted - Waiting on Others")</f>
        <v>A008 Submitted - Waiting on Others</v>
      </c>
      <c r="D102" s="4">
        <f>IFERROR(__xludf.DUMMYFUNCTION("""COMPUTED_VALUE"""),1128451.0)</f>
        <v>1128451</v>
      </c>
      <c r="E102" s="5" t="s">
        <v>34</v>
      </c>
      <c r="J102" s="2" t="s">
        <v>35</v>
      </c>
      <c r="K102" s="2" t="s">
        <v>43</v>
      </c>
      <c r="L102" s="2" t="s">
        <v>49</v>
      </c>
      <c r="M102" s="5" t="s">
        <v>37</v>
      </c>
      <c r="N102" s="5" t="s">
        <v>44</v>
      </c>
      <c r="O102" s="5" t="s">
        <v>37</v>
      </c>
      <c r="S102" s="6"/>
      <c r="T102" s="6"/>
      <c r="U102" s="6"/>
      <c r="V102" s="6"/>
      <c r="W102" s="6"/>
      <c r="X102" s="6"/>
    </row>
    <row r="103">
      <c r="A103" s="1" t="str">
        <f>IFERROR(__xludf.DUMMYFUNCTION("""COMPUTED_VALUE"""),"2506-461")</f>
        <v>2506-461</v>
      </c>
      <c r="B103" s="1" t="str">
        <f>IFERROR(__xludf.DUMMYFUNCTION("""COMPUTED_VALUE"""),"Strassenberg-La-Jolla-Additions-Permitting")</f>
        <v>Strassenberg-La-Jolla-Additions-Permitting</v>
      </c>
      <c r="C103" s="1" t="str">
        <f>IFERROR(__xludf.DUMMYFUNCTION("""COMPUTED_VALUE"""),"A005 Architectural &amp; Structural (CD's)")</f>
        <v>A005 Architectural &amp; Structural (CD's)</v>
      </c>
      <c r="D103" s="4">
        <f>IFERROR(__xludf.DUMMYFUNCTION("""COMPUTED_VALUE"""),1124062.0)</f>
        <v>1124062</v>
      </c>
      <c r="E103" s="5" t="s">
        <v>20</v>
      </c>
      <c r="J103" s="2" t="s">
        <v>32</v>
      </c>
      <c r="K103" s="2" t="s">
        <v>21</v>
      </c>
      <c r="L103" s="2" t="s">
        <v>51</v>
      </c>
      <c r="M103" s="5" t="s">
        <v>24</v>
      </c>
      <c r="N103" s="5" t="s">
        <v>37</v>
      </c>
      <c r="O103" s="5" t="s">
        <v>37</v>
      </c>
      <c r="S103" s="6"/>
      <c r="T103" s="6"/>
      <c r="U103" s="6"/>
      <c r="V103" s="6"/>
      <c r="W103" s="6"/>
      <c r="X103" s="6"/>
    </row>
    <row r="104">
      <c r="A104" s="1" t="str">
        <f>IFERROR(__xludf.DUMMYFUNCTION("""COMPUTED_VALUE"""),"2505-460")</f>
        <v>2505-460</v>
      </c>
      <c r="B104" s="1" t="str">
        <f>IFERROR(__xludf.DUMMYFUNCTION("""COMPUTED_VALUE"""),"Sebastiani-West-Hollywood-FROG-ADU")</f>
        <v>Sebastiani-West-Hollywood-FROG-ADU</v>
      </c>
      <c r="C104" s="1" t="str">
        <f>IFERROR(__xludf.DUMMYFUNCTION("""COMPUTED_VALUE"""),"A008.8 Pending Resubmittal")</f>
        <v>A008.8 Pending Resubmittal</v>
      </c>
      <c r="D104" s="4">
        <f>IFERROR(__xludf.DUMMYFUNCTION("""COMPUTED_VALUE"""),1121622.0)</f>
        <v>1121622</v>
      </c>
      <c r="E104" s="5" t="s">
        <v>34</v>
      </c>
      <c r="J104" s="2" t="s">
        <v>49</v>
      </c>
      <c r="K104" s="2" t="s">
        <v>49</v>
      </c>
      <c r="L104" s="2" t="s">
        <v>47</v>
      </c>
      <c r="M104" s="5" t="s">
        <v>48</v>
      </c>
      <c r="N104" s="5" t="s">
        <v>37</v>
      </c>
      <c r="O104" s="5" t="s">
        <v>37</v>
      </c>
      <c r="S104" s="6"/>
      <c r="T104" s="6"/>
      <c r="U104" s="6"/>
      <c r="V104" s="6"/>
      <c r="W104" s="6"/>
      <c r="X104" s="6"/>
    </row>
    <row r="105">
      <c r="A105" s="1" t="str">
        <f>IFERROR(__xludf.DUMMYFUNCTION("""COMPUTED_VALUE"""),"2505-459")</f>
        <v>2505-459</v>
      </c>
      <c r="B105" s="1" t="str">
        <f>IFERROR(__xludf.DUMMYFUNCTION("""COMPUTED_VALUE"""),"Goodenough-Santa-Barbara-Garage-JADU")</f>
        <v>Goodenough-Santa-Barbara-Garage-JADU</v>
      </c>
      <c r="C105" s="1" t="str">
        <f>IFERROR(__xludf.DUMMYFUNCTION("""COMPUTED_VALUE"""),"A008.8 Pending Resubmittal")</f>
        <v>A008.8 Pending Resubmittal</v>
      </c>
      <c r="D105" s="4">
        <f>IFERROR(__xludf.DUMMYFUNCTION("""COMPUTED_VALUE"""),1114691.0)</f>
        <v>1114691</v>
      </c>
      <c r="E105" s="5" t="s">
        <v>20</v>
      </c>
      <c r="F105" s="2"/>
      <c r="J105" s="2" t="s">
        <v>43</v>
      </c>
      <c r="K105" s="2" t="s">
        <v>40</v>
      </c>
      <c r="L105" s="2" t="s">
        <v>50</v>
      </c>
      <c r="M105" s="5" t="s">
        <v>37</v>
      </c>
      <c r="N105" s="5" t="s">
        <v>44</v>
      </c>
      <c r="O105" s="5" t="s">
        <v>44</v>
      </c>
      <c r="S105" s="6"/>
      <c r="T105" s="6"/>
      <c r="U105" s="6"/>
      <c r="V105" s="3">
        <v>46005.54551708333</v>
      </c>
      <c r="W105" s="3">
        <v>46005.54502984954</v>
      </c>
      <c r="X105" s="6"/>
    </row>
    <row r="106">
      <c r="A106" s="1" t="str">
        <f>IFERROR(__xludf.DUMMYFUNCTION("""COMPUTED_VALUE"""),"2505-458")</f>
        <v>2505-458</v>
      </c>
      <c r="B106" s="1" t="str">
        <f>IFERROR(__xludf.DUMMYFUNCTION("""COMPUTED_VALUE"""),"Zarro-Menifee-Structural-Only")</f>
        <v>Zarro-Menifee-Structural-Only</v>
      </c>
      <c r="C106" s="1" t="str">
        <f>IFERROR(__xludf.DUMMYFUNCTION("""COMPUTED_VALUE"""),"Completed - Sent to Client")</f>
        <v>Completed - Sent to Client</v>
      </c>
      <c r="D106" s="4">
        <f>IFERROR(__xludf.DUMMYFUNCTION("""COMPUTED_VALUE"""),1113149.0)</f>
        <v>1113149</v>
      </c>
      <c r="E106" s="5" t="s">
        <v>20</v>
      </c>
      <c r="J106" s="2" t="s">
        <v>23</v>
      </c>
      <c r="K106" s="2" t="s">
        <v>47</v>
      </c>
      <c r="L106" s="2" t="s">
        <v>25</v>
      </c>
      <c r="M106" s="5" t="s">
        <v>44</v>
      </c>
      <c r="N106" s="5" t="s">
        <v>27</v>
      </c>
      <c r="O106" s="5" t="s">
        <v>27</v>
      </c>
      <c r="S106" s="6"/>
      <c r="T106" s="6"/>
      <c r="U106" s="6"/>
      <c r="V106" s="6"/>
      <c r="W106" s="6"/>
      <c r="X106" s="6"/>
    </row>
    <row r="107">
      <c r="A107" s="1" t="str">
        <f>IFERROR(__xludf.DUMMYFUNCTION("""COMPUTED_VALUE"""),"2505-457")</f>
        <v>2505-457</v>
      </c>
      <c r="B107" s="1" t="str">
        <f>IFERROR(__xludf.DUMMYFUNCTION("""COMPUTED_VALUE"""),"Mathis-Fawnskin-New-Cabin")</f>
        <v>Mathis-Fawnskin-New-Cabin</v>
      </c>
      <c r="C107" s="1" t="str">
        <f>IFERROR(__xludf.DUMMYFUNCTION("""COMPUTED_VALUE"""),"A008.5 Structural Engineering Corrections")</f>
        <v>A008.5 Structural Engineering Corrections</v>
      </c>
      <c r="D107" s="4">
        <f>IFERROR(__xludf.DUMMYFUNCTION("""COMPUTED_VALUE"""),1112985.0)</f>
        <v>1112985</v>
      </c>
      <c r="E107" s="5" t="s">
        <v>20</v>
      </c>
      <c r="J107" s="2" t="s">
        <v>33</v>
      </c>
      <c r="K107" s="2" t="s">
        <v>26</v>
      </c>
      <c r="L107" s="2" t="s">
        <v>42</v>
      </c>
      <c r="M107" s="5" t="s">
        <v>37</v>
      </c>
      <c r="N107" s="5" t="s">
        <v>24</v>
      </c>
      <c r="O107" s="5" t="s">
        <v>24</v>
      </c>
      <c r="S107" s="6"/>
      <c r="T107" s="6"/>
      <c r="U107" s="6"/>
      <c r="V107" s="6"/>
      <c r="W107" s="6"/>
      <c r="X107" s="6"/>
    </row>
    <row r="108">
      <c r="A108" s="1" t="str">
        <f>IFERROR(__xludf.DUMMYFUNCTION("""COMPUTED_VALUE"""),"2505-456")</f>
        <v>2505-456</v>
      </c>
      <c r="B108" s="1" t="str">
        <f>IFERROR(__xludf.DUMMYFUNCTION("""COMPUTED_VALUE"""),"Harris-LA-Sound-Room")</f>
        <v>Harris-LA-Sound-Room</v>
      </c>
      <c r="C108" s="1" t="str">
        <f>IFERROR(__xludf.DUMMYFUNCTION("""COMPUTED_VALUE"""),"Completed - Sent to Client")</f>
        <v>Completed - Sent to Client</v>
      </c>
      <c r="D108" s="4">
        <f>IFERROR(__xludf.DUMMYFUNCTION("""COMPUTED_VALUE"""),1110783.0)</f>
        <v>1110783</v>
      </c>
      <c r="E108" s="5" t="s">
        <v>34</v>
      </c>
      <c r="J108" s="2" t="s">
        <v>50</v>
      </c>
      <c r="K108" s="2" t="s">
        <v>36</v>
      </c>
      <c r="L108" s="2" t="s">
        <v>23</v>
      </c>
      <c r="M108" s="5" t="s">
        <v>48</v>
      </c>
      <c r="N108" s="5" t="s">
        <v>37</v>
      </c>
      <c r="O108" s="5" t="s">
        <v>44</v>
      </c>
      <c r="S108" s="6"/>
      <c r="T108" s="6"/>
      <c r="U108" s="6"/>
      <c r="V108" s="6"/>
      <c r="W108" s="6"/>
      <c r="X108" s="6"/>
    </row>
    <row r="109">
      <c r="A109" s="1" t="str">
        <f>IFERROR(__xludf.DUMMYFUNCTION("""COMPUTED_VALUE"""),"2505-455")</f>
        <v>2505-455</v>
      </c>
      <c r="B109" s="1" t="str">
        <f>IFERROR(__xludf.DUMMYFUNCTION("""COMPUTED_VALUE"""),"Noelle-San-Pedro-Remodel")</f>
        <v>Noelle-San-Pedro-Remodel</v>
      </c>
      <c r="C109" s="1" t="str">
        <f>IFERROR(__xludf.DUMMYFUNCTION("""COMPUTED_VALUE"""),"A008 Submitted - Waiting on Others")</f>
        <v>A008 Submitted - Waiting on Others</v>
      </c>
      <c r="D109" s="4">
        <f>IFERROR(__xludf.DUMMYFUNCTION("""COMPUTED_VALUE"""),1110581.0)</f>
        <v>1110581</v>
      </c>
      <c r="E109" s="5" t="s">
        <v>20</v>
      </c>
      <c r="J109" s="2" t="s">
        <v>21</v>
      </c>
      <c r="K109" s="2" t="s">
        <v>35</v>
      </c>
      <c r="L109" s="2" t="s">
        <v>26</v>
      </c>
      <c r="M109" s="5" t="s">
        <v>24</v>
      </c>
      <c r="N109" s="5" t="s">
        <v>44</v>
      </c>
      <c r="O109" s="5" t="s">
        <v>48</v>
      </c>
      <c r="S109" s="6"/>
      <c r="T109" s="6"/>
      <c r="U109" s="6"/>
      <c r="V109" s="6"/>
      <c r="W109" s="6"/>
      <c r="X109" s="6"/>
    </row>
    <row r="110">
      <c r="A110" s="1" t="str">
        <f>IFERROR(__xludf.DUMMYFUNCTION("""COMPUTED_VALUE"""),"2505-454")</f>
        <v>2505-454</v>
      </c>
      <c r="B110" s="1" t="str">
        <f>IFERROR(__xludf.DUMMYFUNCTION("""COMPUTED_VALUE"""),"Austin-San-Clemente-GADU")</f>
        <v>Austin-San-Clemente-GADU</v>
      </c>
      <c r="C110" s="1" t="str">
        <f>IFERROR(__xludf.DUMMYFUNCTION("""COMPUTED_VALUE"""),"Approved - Construction Phase")</f>
        <v>Approved - Construction Phase</v>
      </c>
      <c r="D110" s="4">
        <f>IFERROR(__xludf.DUMMYFUNCTION("""COMPUTED_VALUE"""),1110544.0)</f>
        <v>1110544</v>
      </c>
      <c r="E110" s="5" t="s">
        <v>20</v>
      </c>
      <c r="J110" s="2" t="s">
        <v>40</v>
      </c>
      <c r="K110" s="2" t="s">
        <v>51</v>
      </c>
      <c r="L110" s="2" t="s">
        <v>33</v>
      </c>
      <c r="M110" s="5" t="s">
        <v>44</v>
      </c>
      <c r="N110" s="5" t="s">
        <v>44</v>
      </c>
      <c r="O110" s="5" t="s">
        <v>27</v>
      </c>
      <c r="S110" s="6"/>
      <c r="T110" s="6"/>
      <c r="U110" s="6"/>
      <c r="V110" s="6"/>
      <c r="W110" s="6"/>
      <c r="X110" s="6"/>
    </row>
    <row r="111">
      <c r="A111" s="1" t="str">
        <f>IFERROR(__xludf.DUMMYFUNCTION("""COMPUTED_VALUE"""),"2505-453")</f>
        <v>2505-453</v>
      </c>
      <c r="B111" s="1" t="str">
        <f>IFERROR(__xludf.DUMMYFUNCTION("""COMPUTED_VALUE"""),"LPS-Kaye-LA-ADU")</f>
        <v>LPS-Kaye-LA-ADU</v>
      </c>
      <c r="C111" s="1" t="str">
        <f>IFERROR(__xludf.DUMMYFUNCTION("""COMPUTED_VALUE"""),"Approved - Construction Phase")</f>
        <v>Approved - Construction Phase</v>
      </c>
      <c r="D111" s="4">
        <f>IFERROR(__xludf.DUMMYFUNCTION("""COMPUTED_VALUE"""),1110336.0)</f>
        <v>1110336</v>
      </c>
      <c r="E111" s="5" t="s">
        <v>20</v>
      </c>
      <c r="J111" s="2" t="s">
        <v>43</v>
      </c>
      <c r="K111" s="2" t="s">
        <v>47</v>
      </c>
      <c r="L111" s="2" t="s">
        <v>36</v>
      </c>
      <c r="M111" s="5" t="s">
        <v>44</v>
      </c>
      <c r="N111" s="5" t="s">
        <v>44</v>
      </c>
      <c r="O111" s="5" t="s">
        <v>24</v>
      </c>
      <c r="S111" s="6"/>
      <c r="T111" s="6"/>
      <c r="U111" s="6"/>
      <c r="V111" s="6"/>
      <c r="W111" s="6"/>
      <c r="X111" s="6"/>
    </row>
    <row r="112">
      <c r="A112" s="1" t="str">
        <f>IFERROR(__xludf.DUMMYFUNCTION("""COMPUTED_VALUE"""),"2505-452")</f>
        <v>2505-452</v>
      </c>
      <c r="B112" s="1" t="str">
        <f>IFERROR(__xludf.DUMMYFUNCTION("""COMPUTED_VALUE"""),"Claude-Santa-Clarita-Remodel")</f>
        <v>Claude-Santa-Clarita-Remodel</v>
      </c>
      <c r="C112" s="1" t="str">
        <f>IFERROR(__xludf.DUMMYFUNCTION("""COMPUTED_VALUE"""),"Abandoned,Expired")</f>
        <v>Abandoned,Expired</v>
      </c>
      <c r="D112" s="4">
        <f>IFERROR(__xludf.DUMMYFUNCTION("""COMPUTED_VALUE"""),1108038.0)</f>
        <v>1108038</v>
      </c>
      <c r="E112" s="5" t="s">
        <v>34</v>
      </c>
      <c r="J112" s="2" t="s">
        <v>25</v>
      </c>
      <c r="K112" s="2" t="s">
        <v>22</v>
      </c>
      <c r="L112" s="2" t="s">
        <v>21</v>
      </c>
      <c r="M112" s="5" t="s">
        <v>44</v>
      </c>
      <c r="N112" s="2" t="s">
        <v>37</v>
      </c>
      <c r="O112" s="5" t="s">
        <v>48</v>
      </c>
      <c r="S112" s="6"/>
      <c r="T112" s="3">
        <v>46006.39042229167</v>
      </c>
      <c r="U112" s="6"/>
      <c r="V112" s="6"/>
      <c r="W112" s="6"/>
      <c r="X112" s="6"/>
    </row>
    <row r="113">
      <c r="A113" s="1" t="str">
        <f>IFERROR(__xludf.DUMMYFUNCTION("""COMPUTED_VALUE"""),"2505-451")</f>
        <v>2505-451</v>
      </c>
      <c r="B113" s="1" t="str">
        <f>IFERROR(__xludf.DUMMYFUNCTION("""COMPUTED_VALUE"""),"Ramos-Aguanga-Patio-Enclosure-Plans")</f>
        <v>Ramos-Aguanga-Patio-Enclosure-Plans</v>
      </c>
      <c r="C113" s="1" t="str">
        <f>IFERROR(__xludf.DUMMYFUNCTION("""COMPUTED_VALUE"""),"A008.2 Architectural Comment Responses")</f>
        <v>A008.2 Architectural Comment Responses</v>
      </c>
      <c r="D113" s="4">
        <f>IFERROR(__xludf.DUMMYFUNCTION("""COMPUTED_VALUE"""),1106142.0)</f>
        <v>1106142</v>
      </c>
      <c r="E113" s="5" t="s">
        <v>20</v>
      </c>
      <c r="J113" s="2" t="s">
        <v>40</v>
      </c>
      <c r="K113" s="2" t="s">
        <v>22</v>
      </c>
      <c r="L113" s="2" t="s">
        <v>47</v>
      </c>
      <c r="M113" s="5" t="s">
        <v>24</v>
      </c>
      <c r="N113" s="5" t="s">
        <v>48</v>
      </c>
      <c r="O113" s="5" t="s">
        <v>24</v>
      </c>
      <c r="S113" s="6"/>
      <c r="T113" s="6"/>
      <c r="U113" s="6"/>
      <c r="V113" s="6"/>
      <c r="W113" s="6"/>
      <c r="X113" s="6"/>
    </row>
    <row r="114">
      <c r="A114" s="1" t="str">
        <f>IFERROR(__xludf.DUMMYFUNCTION("""COMPUTED_VALUE"""),"2505-450")</f>
        <v>2505-450</v>
      </c>
      <c r="B114" s="1" t="str">
        <f>IFERROR(__xludf.DUMMYFUNCTION("""COMPUTED_VALUE"""),"Haberkern-Joshua-Tree-New-Cabin")</f>
        <v>Haberkern-Joshua-Tree-New-Cabin</v>
      </c>
      <c r="C114" s="1" t="str">
        <f>IFERROR(__xludf.DUMMYFUNCTION("""COMPUTED_VALUE"""),"A008 Submitted - Waiting on Others")</f>
        <v>A008 Submitted - Waiting on Others</v>
      </c>
      <c r="D114" s="4">
        <f>IFERROR(__xludf.DUMMYFUNCTION("""COMPUTED_VALUE"""),1103488.0)</f>
        <v>1103488</v>
      </c>
      <c r="E114" s="5" t="s">
        <v>34</v>
      </c>
      <c r="J114" s="2" t="s">
        <v>32</v>
      </c>
      <c r="K114" s="2" t="s">
        <v>22</v>
      </c>
      <c r="L114" s="2" t="s">
        <v>49</v>
      </c>
      <c r="M114" s="5" t="s">
        <v>48</v>
      </c>
      <c r="N114" s="5" t="s">
        <v>37</v>
      </c>
      <c r="O114" s="5" t="s">
        <v>27</v>
      </c>
      <c r="S114" s="6"/>
      <c r="T114" s="6"/>
      <c r="U114" s="6"/>
      <c r="V114" s="6"/>
      <c r="W114" s="6"/>
      <c r="X114" s="6"/>
    </row>
    <row r="115">
      <c r="A115" s="1" t="str">
        <f>IFERROR(__xludf.DUMMYFUNCTION("""COMPUTED_VALUE"""),"2505-448")</f>
        <v>2505-448</v>
      </c>
      <c r="B115" s="1" t="str">
        <f>IFERROR(__xludf.DUMMYFUNCTION("""COMPUTED_VALUE"""),"Bonasera-Coronado-Blanca-Structural")</f>
        <v>Bonasera-Coronado-Blanca-Structural</v>
      </c>
      <c r="C115" s="1" t="str">
        <f>IFERROR(__xludf.DUMMYFUNCTION("""COMPUTED_VALUE"""),"A008.6 Arch Packaging Re-Submittal")</f>
        <v>A008.6 Arch Packaging Re-Submittal</v>
      </c>
      <c r="D115" s="4">
        <f>IFERROR(__xludf.DUMMYFUNCTION("""COMPUTED_VALUE"""),1100842.0)</f>
        <v>1100842</v>
      </c>
      <c r="E115" s="5" t="s">
        <v>20</v>
      </c>
      <c r="J115" s="2" t="s">
        <v>21</v>
      </c>
      <c r="K115" s="2" t="s">
        <v>39</v>
      </c>
      <c r="L115" s="2" t="s">
        <v>26</v>
      </c>
      <c r="M115" s="5" t="s">
        <v>27</v>
      </c>
      <c r="N115" s="5" t="s">
        <v>48</v>
      </c>
      <c r="O115" s="5" t="s">
        <v>44</v>
      </c>
      <c r="S115" s="6"/>
      <c r="T115" s="3">
        <v>46005.25651501157</v>
      </c>
      <c r="U115" s="6"/>
      <c r="V115" s="6"/>
      <c r="W115" s="6"/>
      <c r="X115" s="6"/>
    </row>
    <row r="116">
      <c r="A116" s="1" t="str">
        <f>IFERROR(__xludf.DUMMYFUNCTION("""COMPUTED_VALUE"""),"2505-447")</f>
        <v>2505-447</v>
      </c>
      <c r="B116" s="1" t="str">
        <f>IFERROR(__xludf.DUMMYFUNCTION("""COMPUTED_VALUE"""),"Bonasera-Coronado-Feliz-Structural-Only")</f>
        <v>Bonasera-Coronado-Feliz-Structural-Only</v>
      </c>
      <c r="C116" s="1" t="str">
        <f>IFERROR(__xludf.DUMMYFUNCTION("""COMPUTED_VALUE"""),"A008.5 Structural Engineering Corrections")</f>
        <v>A008.5 Structural Engineering Corrections</v>
      </c>
      <c r="D116" s="4">
        <f>IFERROR(__xludf.DUMMYFUNCTION("""COMPUTED_VALUE"""),1098098.0)</f>
        <v>1098098</v>
      </c>
      <c r="E116" s="5" t="s">
        <v>20</v>
      </c>
      <c r="J116" s="2" t="s">
        <v>35</v>
      </c>
      <c r="K116" s="2" t="s">
        <v>43</v>
      </c>
      <c r="L116" s="2" t="s">
        <v>35</v>
      </c>
      <c r="M116" s="5" t="s">
        <v>48</v>
      </c>
      <c r="N116" s="5" t="s">
        <v>37</v>
      </c>
      <c r="O116" s="5" t="s">
        <v>37</v>
      </c>
      <c r="S116" s="6"/>
      <c r="T116" s="3">
        <v>46005.22552476852</v>
      </c>
      <c r="U116" s="6"/>
      <c r="V116" s="6"/>
      <c r="W116" s="6"/>
      <c r="X116" s="6"/>
    </row>
    <row r="117">
      <c r="A117" s="1" t="str">
        <f>IFERROR(__xludf.DUMMYFUNCTION("""COMPUTED_VALUE"""),"2505-446")</f>
        <v>2505-446</v>
      </c>
      <c r="B117" s="1" t="str">
        <f>IFERROR(__xludf.DUMMYFUNCTION("""COMPUTED_VALUE"""),"Yang-La-Habra-Boba-Shop-Plans")</f>
        <v>Yang-La-Habra-Boba-Shop-Plans</v>
      </c>
      <c r="C117" s="1" t="str">
        <f>IFERROR(__xludf.DUMMYFUNCTION("""COMPUTED_VALUE"""),"Abandoned,Expired")</f>
        <v>Abandoned,Expired</v>
      </c>
      <c r="D117" s="4">
        <f>IFERROR(__xludf.DUMMYFUNCTION("""COMPUTED_VALUE"""),1095065.0)</f>
        <v>1095065</v>
      </c>
      <c r="E117" s="5" t="s">
        <v>20</v>
      </c>
      <c r="J117" s="2" t="s">
        <v>49</v>
      </c>
      <c r="K117" s="2" t="s">
        <v>23</v>
      </c>
      <c r="L117" s="2" t="s">
        <v>21</v>
      </c>
      <c r="M117" s="5" t="s">
        <v>37</v>
      </c>
      <c r="N117" s="5" t="s">
        <v>44</v>
      </c>
      <c r="O117" s="5" t="s">
        <v>37</v>
      </c>
      <c r="S117" s="6"/>
      <c r="T117" s="6"/>
      <c r="U117" s="6"/>
      <c r="V117" s="6"/>
      <c r="W117" s="6"/>
      <c r="X117" s="6"/>
    </row>
    <row r="118">
      <c r="A118" s="1" t="str">
        <f>IFERROR(__xludf.DUMMYFUNCTION("""COMPUTED_VALUE"""),"2505-445")</f>
        <v>2505-445</v>
      </c>
      <c r="B118" s="1" t="str">
        <f>IFERROR(__xludf.DUMMYFUNCTION("""COMPUTED_VALUE"""),"Quan-Altadena-Fire-Rebuild")</f>
        <v>Quan-Altadena-Fire-Rebuild</v>
      </c>
      <c r="C118" s="1" t="str">
        <f>IFERROR(__xludf.DUMMYFUNCTION("""COMPUTED_VALUE"""),"Abandoned,Expired")</f>
        <v>Abandoned,Expired</v>
      </c>
      <c r="D118" s="4">
        <f>IFERROR(__xludf.DUMMYFUNCTION("""COMPUTED_VALUE"""),1093998.0)</f>
        <v>1093998</v>
      </c>
      <c r="E118" s="5" t="s">
        <v>20</v>
      </c>
      <c r="J118" s="2" t="s">
        <v>32</v>
      </c>
      <c r="K118" s="2" t="s">
        <v>49</v>
      </c>
      <c r="L118" s="2" t="s">
        <v>32</v>
      </c>
      <c r="M118" s="5" t="s">
        <v>44</v>
      </c>
      <c r="N118" s="5" t="s">
        <v>44</v>
      </c>
      <c r="O118" s="5" t="s">
        <v>24</v>
      </c>
      <c r="S118" s="6"/>
      <c r="T118" s="6"/>
      <c r="U118" s="6"/>
      <c r="V118" s="6"/>
      <c r="W118" s="6"/>
      <c r="X118" s="6"/>
    </row>
    <row r="119">
      <c r="A119" s="1" t="str">
        <f>IFERROR(__xludf.DUMMYFUNCTION("""COMPUTED_VALUE"""),"2504-444")</f>
        <v>2504-444</v>
      </c>
      <c r="B119" s="1" t="str">
        <f>IFERROR(__xludf.DUMMYFUNCTION("""COMPUTED_VALUE"""),"TRC-Barnes-Altadena-Fire-Rebuild")</f>
        <v>TRC-Barnes-Altadena-Fire-Rebuild</v>
      </c>
      <c r="C119" s="1" t="str">
        <f>IFERROR(__xludf.DUMMYFUNCTION("""COMPUTED_VALUE"""),"A005.9 - Submitted to Planning")</f>
        <v>A005.9 - Submitted to Planning</v>
      </c>
      <c r="D119" s="4">
        <f>IFERROR(__xludf.DUMMYFUNCTION("""COMPUTED_VALUE"""),1093968.0)</f>
        <v>1093968</v>
      </c>
      <c r="E119" s="5" t="s">
        <v>20</v>
      </c>
      <c r="J119" s="2" t="s">
        <v>43</v>
      </c>
      <c r="K119" s="2" t="s">
        <v>50</v>
      </c>
      <c r="L119" s="2" t="s">
        <v>32</v>
      </c>
      <c r="M119" s="5" t="s">
        <v>24</v>
      </c>
      <c r="N119" s="5" t="s">
        <v>44</v>
      </c>
      <c r="O119" s="5" t="s">
        <v>48</v>
      </c>
      <c r="S119" s="6"/>
      <c r="T119" s="6"/>
      <c r="U119" s="6"/>
      <c r="V119" s="6"/>
      <c r="W119" s="6"/>
      <c r="X119" s="6"/>
    </row>
    <row r="120">
      <c r="A120" s="1" t="str">
        <f>IFERROR(__xludf.DUMMYFUNCTION("""COMPUTED_VALUE"""),"2504-443")</f>
        <v>2504-443</v>
      </c>
      <c r="B120" s="1" t="str">
        <f>IFERROR(__xludf.DUMMYFUNCTION("""COMPUTED_VALUE"""),"Cruz-SD-Site-Egress-Plans")</f>
        <v>Cruz-SD-Site-Egress-Plans</v>
      </c>
      <c r="C120" s="1" t="str">
        <f>IFERROR(__xludf.DUMMYFUNCTION("""COMPUTED_VALUE"""),"Abandoned,Expired")</f>
        <v>Abandoned,Expired</v>
      </c>
      <c r="D120" s="4">
        <f>IFERROR(__xludf.DUMMYFUNCTION("""COMPUTED_VALUE"""),1093905.0)</f>
        <v>1093905</v>
      </c>
      <c r="E120" s="5" t="s">
        <v>34</v>
      </c>
      <c r="J120" s="2" t="s">
        <v>43</v>
      </c>
      <c r="K120" s="2" t="s">
        <v>26</v>
      </c>
      <c r="L120" s="2" t="s">
        <v>43</v>
      </c>
      <c r="M120" s="5" t="s">
        <v>24</v>
      </c>
      <c r="N120" s="5" t="s">
        <v>48</v>
      </c>
      <c r="O120" s="5" t="s">
        <v>24</v>
      </c>
      <c r="S120" s="6"/>
      <c r="T120" s="6"/>
      <c r="U120" s="6"/>
      <c r="V120" s="6"/>
      <c r="W120" s="6"/>
      <c r="X120" s="6"/>
    </row>
    <row r="121">
      <c r="A121" s="1" t="str">
        <f>IFERROR(__xludf.DUMMYFUNCTION("""COMPUTED_VALUE"""),"2504-442")</f>
        <v>2504-442</v>
      </c>
      <c r="B121" s="1" t="str">
        <f>IFERROR(__xludf.DUMMYFUNCTION("""COMPUTED_VALUE"""),"Deni-Palisades-Fire-Rebuild")</f>
        <v>Deni-Palisades-Fire-Rebuild</v>
      </c>
      <c r="C121" s="1" t="str">
        <f>IFERROR(__xludf.DUMMYFUNCTION("""COMPUTED_VALUE"""),"A008 Submitted - Waiting on Others")</f>
        <v>A008 Submitted - Waiting on Others</v>
      </c>
      <c r="D121" s="4">
        <f>IFERROR(__xludf.DUMMYFUNCTION("""COMPUTED_VALUE"""),1092506.0)</f>
        <v>1092506</v>
      </c>
      <c r="E121" s="5" t="s">
        <v>20</v>
      </c>
      <c r="J121" s="2" t="s">
        <v>26</v>
      </c>
      <c r="K121" s="2" t="s">
        <v>36</v>
      </c>
      <c r="L121" s="2" t="s">
        <v>25</v>
      </c>
      <c r="M121" s="5" t="s">
        <v>37</v>
      </c>
      <c r="N121" s="5" t="s">
        <v>44</v>
      </c>
      <c r="O121" s="5" t="s">
        <v>27</v>
      </c>
      <c r="S121" s="6"/>
      <c r="T121" s="6"/>
      <c r="U121" s="6"/>
      <c r="V121" s="6"/>
      <c r="W121" s="6"/>
      <c r="X121" s="6"/>
    </row>
    <row r="122">
      <c r="A122" s="1" t="str">
        <f>IFERROR(__xludf.DUMMYFUNCTION("""COMPUTED_VALUE"""),"2504-441")</f>
        <v>2504-441</v>
      </c>
      <c r="B122" s="1" t="str">
        <f>IFERROR(__xludf.DUMMYFUNCTION("""COMPUTED_VALUE"""),"Yarash-SD-Duplex-Expedited")</f>
        <v>Yarash-SD-Duplex-Expedited</v>
      </c>
      <c r="C122" s="1" t="str">
        <f>IFERROR(__xludf.DUMMYFUNCTION("""COMPUTED_VALUE"""),"A008.2 Architectural Comment Responses")</f>
        <v>A008.2 Architectural Comment Responses</v>
      </c>
      <c r="D122" s="4">
        <f>IFERROR(__xludf.DUMMYFUNCTION("""COMPUTED_VALUE"""),1092434.0)</f>
        <v>1092434</v>
      </c>
      <c r="E122" s="5" t="s">
        <v>34</v>
      </c>
      <c r="J122" s="2" t="s">
        <v>36</v>
      </c>
      <c r="K122" s="2" t="s">
        <v>25</v>
      </c>
      <c r="L122" s="2" t="s">
        <v>50</v>
      </c>
      <c r="M122" s="5" t="s">
        <v>44</v>
      </c>
      <c r="N122" s="5" t="s">
        <v>48</v>
      </c>
      <c r="O122" s="5" t="s">
        <v>44</v>
      </c>
      <c r="S122" s="6"/>
      <c r="T122" s="6"/>
      <c r="U122" s="6"/>
      <c r="V122" s="6"/>
      <c r="W122" s="6"/>
      <c r="X122" s="6"/>
    </row>
    <row r="123">
      <c r="A123" s="1" t="str">
        <f>IFERROR(__xludf.DUMMYFUNCTION("""COMPUTED_VALUE"""),"2504-440")</f>
        <v>2504-440</v>
      </c>
      <c r="B123" s="1" t="str">
        <f>IFERROR(__xludf.DUMMYFUNCTION("""COMPUTED_VALUE"""),"Haggar-El-Cajon-Patio-and-ADU-Permitting")</f>
        <v>Haggar-El-Cajon-Patio-and-ADU-Permitting</v>
      </c>
      <c r="C123" s="1" t="str">
        <f>IFERROR(__xludf.DUMMYFUNCTION("""COMPUTED_VALUE"""),"Approved - Construction Phase")</f>
        <v>Approved - Construction Phase</v>
      </c>
      <c r="D123" s="4">
        <f>IFERROR(__xludf.DUMMYFUNCTION("""COMPUTED_VALUE"""),1089977.0)</f>
        <v>1089977</v>
      </c>
      <c r="E123" s="5" t="s">
        <v>34</v>
      </c>
      <c r="J123" s="2" t="s">
        <v>21</v>
      </c>
      <c r="K123" s="2" t="s">
        <v>25</v>
      </c>
      <c r="L123" s="2" t="s">
        <v>39</v>
      </c>
      <c r="M123" s="5" t="s">
        <v>37</v>
      </c>
      <c r="N123" s="5" t="s">
        <v>48</v>
      </c>
      <c r="O123" s="5" t="s">
        <v>37</v>
      </c>
      <c r="S123" s="6"/>
      <c r="T123" s="6"/>
      <c r="U123" s="6"/>
      <c r="V123" s="6"/>
      <c r="W123" s="6"/>
      <c r="X123" s="6"/>
    </row>
    <row r="124">
      <c r="A124" s="1" t="str">
        <f>IFERROR(__xludf.DUMMYFUNCTION("""COMPUTED_VALUE"""),"2504-439")</f>
        <v>2504-439</v>
      </c>
      <c r="B124" s="1" t="str">
        <f>IFERROR(__xludf.DUMMYFUNCTION("""COMPUTED_VALUE"""),"Garcia-San-Dimas-Structural-Designs")</f>
        <v>Garcia-San-Dimas-Structural-Designs</v>
      </c>
      <c r="C124" s="1" t="str">
        <f>IFERROR(__xludf.DUMMYFUNCTION("""COMPUTED_VALUE"""),"Completed - Sent to Client")</f>
        <v>Completed - Sent to Client</v>
      </c>
      <c r="D124" s="4">
        <f>IFERROR(__xludf.DUMMYFUNCTION("""COMPUTED_VALUE"""),1089575.0)</f>
        <v>1089575</v>
      </c>
      <c r="E124" s="5" t="s">
        <v>20</v>
      </c>
      <c r="J124" s="2" t="s">
        <v>40</v>
      </c>
      <c r="K124" s="2" t="s">
        <v>47</v>
      </c>
      <c r="L124" s="2" t="s">
        <v>26</v>
      </c>
      <c r="M124" s="5" t="s">
        <v>27</v>
      </c>
      <c r="N124" s="5" t="s">
        <v>37</v>
      </c>
      <c r="O124" s="5" t="s">
        <v>24</v>
      </c>
      <c r="S124" s="6"/>
      <c r="T124" s="6"/>
      <c r="U124" s="6"/>
      <c r="V124" s="6"/>
      <c r="W124" s="6"/>
      <c r="X124" s="6"/>
    </row>
    <row r="125">
      <c r="A125" s="1" t="str">
        <f>IFERROR(__xludf.DUMMYFUNCTION("""COMPUTED_VALUE"""),"2504-438")</f>
        <v>2504-438</v>
      </c>
      <c r="B125" s="1" t="str">
        <f>IFERROR(__xludf.DUMMYFUNCTION("""COMPUTED_VALUE"""),"Campbell-LA-Shed-Plans")</f>
        <v>Campbell-LA-Shed-Plans</v>
      </c>
      <c r="C125" s="1" t="str">
        <f>IFERROR(__xludf.DUMMYFUNCTION("""COMPUTED_VALUE"""),"A009 Resubmitted")</f>
        <v>A009 Resubmitted</v>
      </c>
      <c r="D125" s="4">
        <f>IFERROR(__xludf.DUMMYFUNCTION("""COMPUTED_VALUE"""),1089344.0)</f>
        <v>1089344</v>
      </c>
      <c r="E125" s="5" t="s">
        <v>20</v>
      </c>
      <c r="J125" s="2" t="s">
        <v>49</v>
      </c>
      <c r="K125" s="2" t="s">
        <v>22</v>
      </c>
      <c r="L125" s="2" t="s">
        <v>49</v>
      </c>
      <c r="M125" s="5" t="s">
        <v>37</v>
      </c>
      <c r="N125" s="2" t="s">
        <v>27</v>
      </c>
      <c r="O125" s="5" t="s">
        <v>44</v>
      </c>
      <c r="S125" s="6"/>
      <c r="T125" s="3">
        <v>46006.3908834375</v>
      </c>
      <c r="U125" s="6"/>
      <c r="V125" s="6"/>
      <c r="W125" s="6"/>
      <c r="X125" s="6"/>
    </row>
    <row r="126">
      <c r="A126" s="1" t="str">
        <f>IFERROR(__xludf.DUMMYFUNCTION("""COMPUTED_VALUE"""),"2504-437")</f>
        <v>2504-437</v>
      </c>
      <c r="B126" s="1" t="str">
        <f>IFERROR(__xludf.DUMMYFUNCTION("""COMPUTED_VALUE"""),"Lartelier-LA-3-ADUs")</f>
        <v>Lartelier-LA-3-ADUs</v>
      </c>
      <c r="C126" s="1" t="str">
        <f>IFERROR(__xludf.DUMMYFUNCTION("""COMPUTED_VALUE"""),"Completed - Sent to Client")</f>
        <v>Completed - Sent to Client</v>
      </c>
      <c r="D126" s="4">
        <f>IFERROR(__xludf.DUMMYFUNCTION("""COMPUTED_VALUE"""),1086475.0)</f>
        <v>1086475</v>
      </c>
      <c r="E126" s="5" t="s">
        <v>34</v>
      </c>
      <c r="J126" s="2" t="s">
        <v>23</v>
      </c>
      <c r="K126" s="2" t="s">
        <v>22</v>
      </c>
      <c r="L126" s="2" t="s">
        <v>33</v>
      </c>
      <c r="M126" s="5" t="s">
        <v>48</v>
      </c>
      <c r="N126" s="5" t="s">
        <v>27</v>
      </c>
      <c r="O126" s="5" t="s">
        <v>48</v>
      </c>
      <c r="S126" s="6"/>
      <c r="T126" s="6"/>
      <c r="U126" s="6"/>
      <c r="V126" s="6"/>
      <c r="W126" s="6"/>
      <c r="X126" s="6"/>
    </row>
    <row r="127">
      <c r="A127" s="1" t="str">
        <f>IFERROR(__xludf.DUMMYFUNCTION("""COMPUTED_VALUE"""),"2504-436")</f>
        <v>2504-436</v>
      </c>
      <c r="B127" s="1" t="str">
        <f>IFERROR(__xludf.DUMMYFUNCTION("""COMPUTED_VALUE"""),"Castillo-Redlands-Detached-Cabin")</f>
        <v>Castillo-Redlands-Detached-Cabin</v>
      </c>
      <c r="C127" s="1" t="str">
        <f>IFERROR(__xludf.DUMMYFUNCTION("""COMPUTED_VALUE"""),"A008.2 Architectural Comment Responses")</f>
        <v>A008.2 Architectural Comment Responses</v>
      </c>
      <c r="D127" s="4">
        <f>IFERROR(__xludf.DUMMYFUNCTION("""COMPUTED_VALUE"""),1086402.0)</f>
        <v>1086402</v>
      </c>
      <c r="E127" s="5" t="s">
        <v>34</v>
      </c>
      <c r="J127" s="2" t="s">
        <v>26</v>
      </c>
      <c r="K127" s="2" t="s">
        <v>43</v>
      </c>
      <c r="L127" s="2" t="s">
        <v>21</v>
      </c>
      <c r="M127" s="5" t="s">
        <v>37</v>
      </c>
      <c r="N127" s="5" t="s">
        <v>37</v>
      </c>
      <c r="O127" s="5" t="s">
        <v>48</v>
      </c>
      <c r="S127" s="6"/>
      <c r="T127" s="6"/>
      <c r="U127" s="6"/>
      <c r="V127" s="6"/>
      <c r="W127" s="6"/>
      <c r="X127" s="6"/>
    </row>
    <row r="128">
      <c r="A128" s="1" t="str">
        <f>IFERROR(__xludf.DUMMYFUNCTION("""COMPUTED_VALUE"""),"2504-435")</f>
        <v>2504-435</v>
      </c>
      <c r="B128" s="1" t="str">
        <f>IFERROR(__xludf.DUMMYFUNCTION("""COMPUTED_VALUE"""),"Shin-Santa-Clarita-ADU")</f>
        <v>Shin-Santa-Clarita-ADU</v>
      </c>
      <c r="C128" s="1" t="str">
        <f>IFERROR(__xludf.DUMMYFUNCTION("""COMPUTED_VALUE"""),"A009 Resubmitted")</f>
        <v>A009 Resubmitted</v>
      </c>
      <c r="D128" s="4">
        <f>IFERROR(__xludf.DUMMYFUNCTION("""COMPUTED_VALUE"""),1085090.0)</f>
        <v>1085090</v>
      </c>
      <c r="E128" s="5" t="s">
        <v>34</v>
      </c>
      <c r="J128" s="2" t="s">
        <v>36</v>
      </c>
      <c r="K128" s="2" t="s">
        <v>23</v>
      </c>
      <c r="L128" s="2" t="s">
        <v>49</v>
      </c>
      <c r="M128" s="5" t="s">
        <v>27</v>
      </c>
      <c r="N128" s="5" t="s">
        <v>37</v>
      </c>
      <c r="O128" s="5" t="s">
        <v>27</v>
      </c>
      <c r="S128" s="6"/>
      <c r="T128" s="6"/>
      <c r="U128" s="6"/>
      <c r="V128" s="6"/>
      <c r="W128" s="6"/>
      <c r="X128" s="6"/>
    </row>
    <row r="129">
      <c r="A129" s="1" t="str">
        <f>IFERROR(__xludf.DUMMYFUNCTION("""COMPUTED_VALUE"""),"2504-434")</f>
        <v>2504-434</v>
      </c>
      <c r="B129" s="1" t="str">
        <f>IFERROR(__xludf.DUMMYFUNCTION("""COMPUTED_VALUE"""),"Shepard-Simi-Addition")</f>
        <v>Shepard-Simi-Addition</v>
      </c>
      <c r="C129" s="1" t="str">
        <f>IFERROR(__xludf.DUMMYFUNCTION("""COMPUTED_VALUE"""),"A008.8 Pending Resubmittal")</f>
        <v>A008.8 Pending Resubmittal</v>
      </c>
      <c r="D129" s="4">
        <f>IFERROR(__xludf.DUMMYFUNCTION("""COMPUTED_VALUE"""),1084413.0)</f>
        <v>1084413</v>
      </c>
      <c r="E129" s="5" t="s">
        <v>34</v>
      </c>
      <c r="J129" s="2" t="s">
        <v>51</v>
      </c>
      <c r="K129" s="2" t="s">
        <v>40</v>
      </c>
      <c r="L129" s="2" t="s">
        <v>50</v>
      </c>
      <c r="M129" s="5" t="s">
        <v>37</v>
      </c>
      <c r="N129" s="5" t="s">
        <v>24</v>
      </c>
      <c r="O129" s="5" t="s">
        <v>37</v>
      </c>
      <c r="S129" s="6"/>
      <c r="T129" s="6"/>
      <c r="U129" s="6"/>
      <c r="V129" s="6"/>
      <c r="W129" s="6"/>
      <c r="X129" s="6"/>
    </row>
    <row r="130">
      <c r="A130" s="1" t="str">
        <f>IFERROR(__xludf.DUMMYFUNCTION("""COMPUTED_VALUE"""),"2504-433")</f>
        <v>2504-433</v>
      </c>
      <c r="B130" s="1" t="str">
        <f>IFERROR(__xludf.DUMMYFUNCTION("""COMPUTED_VALUE"""),"Eltaeb San Diego ADU")</f>
        <v>Eltaeb San Diego ADU</v>
      </c>
      <c r="C130" s="1" t="str">
        <f>IFERROR(__xludf.DUMMYFUNCTION("""COMPUTED_VALUE"""),"A005.9 - Submitted to Planning")</f>
        <v>A005.9 - Submitted to Planning</v>
      </c>
      <c r="D130" s="4">
        <f>IFERROR(__xludf.DUMMYFUNCTION("""COMPUTED_VALUE"""),1082719.0)</f>
        <v>1082719</v>
      </c>
      <c r="E130" s="5" t="s">
        <v>20</v>
      </c>
      <c r="J130" s="2" t="s">
        <v>42</v>
      </c>
      <c r="K130" s="2" t="s">
        <v>49</v>
      </c>
      <c r="L130" s="2" t="s">
        <v>49</v>
      </c>
      <c r="M130" s="5" t="s">
        <v>44</v>
      </c>
      <c r="N130" s="5" t="s">
        <v>44</v>
      </c>
      <c r="O130" s="5" t="s">
        <v>27</v>
      </c>
      <c r="S130" s="6"/>
      <c r="T130" s="6"/>
      <c r="U130" s="6"/>
      <c r="V130" s="6"/>
      <c r="W130" s="6"/>
      <c r="X130" s="6"/>
    </row>
    <row r="131">
      <c r="A131" s="1" t="str">
        <f>IFERROR(__xludf.DUMMYFUNCTION("""COMPUTED_VALUE"""),"2504-432")</f>
        <v>2504-432</v>
      </c>
      <c r="B131" s="1" t="str">
        <f>IFERROR(__xludf.DUMMYFUNCTION("""COMPUTED_VALUE"""),"Hirn San Jacinto Remodel Plans")</f>
        <v>Hirn San Jacinto Remodel Plans</v>
      </c>
      <c r="C131" s="1" t="str">
        <f>IFERROR(__xludf.DUMMYFUNCTION("""COMPUTED_VALUE"""),"Approved - Construction Phase")</f>
        <v>Approved - Construction Phase</v>
      </c>
      <c r="D131" s="4">
        <f>IFERROR(__xludf.DUMMYFUNCTION("""COMPUTED_VALUE"""),1079223.0)</f>
        <v>1079223</v>
      </c>
      <c r="E131" s="5" t="s">
        <v>34</v>
      </c>
      <c r="J131" s="2" t="s">
        <v>39</v>
      </c>
      <c r="K131" s="2" t="s">
        <v>26</v>
      </c>
      <c r="L131" s="2" t="s">
        <v>49</v>
      </c>
      <c r="M131" s="5" t="s">
        <v>44</v>
      </c>
      <c r="N131" s="5" t="s">
        <v>44</v>
      </c>
      <c r="O131" s="5" t="s">
        <v>37</v>
      </c>
      <c r="S131" s="6"/>
      <c r="T131" s="6"/>
      <c r="U131" s="6"/>
      <c r="V131" s="6"/>
      <c r="W131" s="6"/>
      <c r="X131" s="6"/>
    </row>
    <row r="132">
      <c r="A132" s="1" t="str">
        <f>IFERROR(__xludf.DUMMYFUNCTION("""COMPUTED_VALUE"""),"2504-431")</f>
        <v>2504-431</v>
      </c>
      <c r="B132" s="1" t="str">
        <f>IFERROR(__xludf.DUMMYFUNCTION("""COMPUTED_VALUE"""),"TRC-Mullaly-Altadena-Fire-Rebuild")</f>
        <v>TRC-Mullaly-Altadena-Fire-Rebuild</v>
      </c>
      <c r="C132" s="1" t="str">
        <f>IFERROR(__xludf.DUMMYFUNCTION("""COMPUTED_VALUE"""),"A006.5 - Structural Engineering")</f>
        <v>A006.5 - Structural Engineering</v>
      </c>
      <c r="D132" s="4">
        <f>IFERROR(__xludf.DUMMYFUNCTION("""COMPUTED_VALUE"""),1079087.0)</f>
        <v>1079087</v>
      </c>
      <c r="E132" s="5" t="s">
        <v>34</v>
      </c>
      <c r="F132" s="2"/>
      <c r="J132" s="2" t="s">
        <v>50</v>
      </c>
      <c r="K132" s="2" t="s">
        <v>39</v>
      </c>
      <c r="L132" s="2" t="s">
        <v>26</v>
      </c>
      <c r="M132" s="5" t="s">
        <v>24</v>
      </c>
      <c r="N132" s="5" t="s">
        <v>37</v>
      </c>
      <c r="O132" s="5" t="s">
        <v>27</v>
      </c>
      <c r="S132" s="3">
        <v>46006.24505783565</v>
      </c>
      <c r="T132" s="6"/>
      <c r="U132" s="6"/>
      <c r="V132" s="3">
        <v>46005.543547106485</v>
      </c>
      <c r="W132" s="3">
        <v>46005.54353141204</v>
      </c>
      <c r="X132" s="6"/>
    </row>
    <row r="133">
      <c r="A133" s="1" t="str">
        <f>IFERROR(__xludf.DUMMYFUNCTION("""COMPUTED_VALUE"""),"2504-430")</f>
        <v>2504-430</v>
      </c>
      <c r="B133" s="1" t="str">
        <f>IFERROR(__xludf.DUMMYFUNCTION("""COMPUTED_VALUE"""),"Makhyan-Burbank-ADU-Conversion")</f>
        <v>Makhyan-Burbank-ADU-Conversion</v>
      </c>
      <c r="C133" s="1" t="str">
        <f>IFERROR(__xludf.DUMMYFUNCTION("""COMPUTED_VALUE"""),"Approved - Construction Phase")</f>
        <v>Approved - Construction Phase</v>
      </c>
      <c r="D133" s="4">
        <f>IFERROR(__xludf.DUMMYFUNCTION("""COMPUTED_VALUE"""),1077271.0)</f>
        <v>1077271</v>
      </c>
      <c r="E133" s="5" t="s">
        <v>20</v>
      </c>
      <c r="J133" s="2" t="s">
        <v>23</v>
      </c>
      <c r="K133" s="2" t="s">
        <v>33</v>
      </c>
      <c r="L133" s="2" t="s">
        <v>25</v>
      </c>
      <c r="M133" s="5" t="s">
        <v>44</v>
      </c>
      <c r="N133" s="5" t="s">
        <v>27</v>
      </c>
      <c r="O133" s="5" t="s">
        <v>27</v>
      </c>
      <c r="S133" s="6"/>
      <c r="T133" s="6"/>
      <c r="U133" s="6"/>
      <c r="V133" s="6"/>
      <c r="W133" s="6"/>
      <c r="X133" s="6"/>
    </row>
    <row r="134">
      <c r="A134" s="1" t="str">
        <f>IFERROR(__xludf.DUMMYFUNCTION("""COMPUTED_VALUE"""),"2504-429")</f>
        <v>2504-429</v>
      </c>
      <c r="B134" s="1" t="str">
        <f>IFERROR(__xludf.DUMMYFUNCTION("""COMPUTED_VALUE"""),"Powell-SNF-Plans")</f>
        <v>Powell-SNF-Plans</v>
      </c>
      <c r="C134" s="1" t="str">
        <f>IFERROR(__xludf.DUMMYFUNCTION("""COMPUTED_VALUE"""),"Approved - Construction Phase")</f>
        <v>Approved - Construction Phase</v>
      </c>
      <c r="D134" s="4">
        <f>IFERROR(__xludf.DUMMYFUNCTION("""COMPUTED_VALUE"""),1076925.0)</f>
        <v>1076925</v>
      </c>
      <c r="E134" s="5" t="s">
        <v>34</v>
      </c>
      <c r="J134" s="2" t="s">
        <v>21</v>
      </c>
      <c r="K134" s="2" t="s">
        <v>40</v>
      </c>
      <c r="L134" s="2" t="s">
        <v>49</v>
      </c>
      <c r="M134" s="5" t="s">
        <v>44</v>
      </c>
      <c r="N134" s="5" t="s">
        <v>24</v>
      </c>
      <c r="O134" s="5" t="s">
        <v>44</v>
      </c>
      <c r="S134" s="6"/>
      <c r="T134" s="6"/>
      <c r="U134" s="6"/>
      <c r="V134" s="6"/>
      <c r="W134" s="6"/>
      <c r="X134" s="6"/>
    </row>
    <row r="135">
      <c r="A135" s="1" t="str">
        <f>IFERROR(__xludf.DUMMYFUNCTION("""COMPUTED_VALUE"""),"2504-428")</f>
        <v>2504-428</v>
      </c>
      <c r="B135" s="1" t="str">
        <f>IFERROR(__xludf.DUMMYFUNCTION("""COMPUTED_VALUE"""),"Rice-Campbell-RSF-Addition")</f>
        <v>Rice-Campbell-RSF-Addition</v>
      </c>
      <c r="C135" s="1" t="str">
        <f>IFERROR(__xludf.DUMMYFUNCTION("""COMPUTED_VALUE"""),"A008.6 Arch Packaging Re-Submittal")</f>
        <v>A008.6 Arch Packaging Re-Submittal</v>
      </c>
      <c r="D135" s="4">
        <f>IFERROR(__xludf.DUMMYFUNCTION("""COMPUTED_VALUE"""),1070661.0)</f>
        <v>1070661</v>
      </c>
      <c r="E135" s="5" t="s">
        <v>34</v>
      </c>
      <c r="F135" s="2"/>
      <c r="J135" s="2" t="s">
        <v>22</v>
      </c>
      <c r="K135" s="2" t="s">
        <v>25</v>
      </c>
      <c r="L135" s="2" t="s">
        <v>49</v>
      </c>
      <c r="M135" s="2" t="s">
        <v>24</v>
      </c>
      <c r="N135" s="5" t="s">
        <v>27</v>
      </c>
      <c r="O135" s="5" t="s">
        <v>44</v>
      </c>
      <c r="S135" s="3">
        <v>46006.38005078703</v>
      </c>
      <c r="T135" s="6"/>
      <c r="U135" s="6"/>
      <c r="V135" s="3">
        <v>46005.5440803588</v>
      </c>
      <c r="W135" s="3">
        <v>46005.55077883102</v>
      </c>
      <c r="X135" s="6"/>
    </row>
    <row r="136">
      <c r="A136" s="1" t="str">
        <f>IFERROR(__xludf.DUMMYFUNCTION("""COMPUTED_VALUE"""),"2504-426")</f>
        <v>2504-426</v>
      </c>
      <c r="B136" s="1" t="str">
        <f>IFERROR(__xludf.DUMMYFUNCTION("""COMPUTED_VALUE"""),"Agha Malibu Fire Rebuild")</f>
        <v>Agha Malibu Fire Rebuild</v>
      </c>
      <c r="C136" s="1" t="str">
        <f>IFERROR(__xludf.DUMMYFUNCTION("""COMPUTED_VALUE"""),"A008.2 Architectural Comment Responses")</f>
        <v>A008.2 Architectural Comment Responses</v>
      </c>
      <c r="D136" s="4">
        <f>IFERROR(__xludf.DUMMYFUNCTION("""COMPUTED_VALUE"""),1068261.0)</f>
        <v>1068261</v>
      </c>
      <c r="E136" s="5" t="s">
        <v>20</v>
      </c>
      <c r="J136" s="2" t="s">
        <v>26</v>
      </c>
      <c r="K136" s="2" t="s">
        <v>23</v>
      </c>
      <c r="L136" s="2" t="s">
        <v>51</v>
      </c>
      <c r="M136" s="5" t="s">
        <v>48</v>
      </c>
      <c r="N136" s="5" t="s">
        <v>37</v>
      </c>
      <c r="O136" s="5" t="s">
        <v>48</v>
      </c>
      <c r="S136" s="6"/>
      <c r="T136" s="6"/>
      <c r="U136" s="6"/>
      <c r="V136" s="6"/>
      <c r="W136" s="6"/>
      <c r="X136" s="6"/>
    </row>
    <row r="137">
      <c r="A137" s="1" t="str">
        <f>IFERROR(__xludf.DUMMYFUNCTION("""COMPUTED_VALUE"""),"2503-425")</f>
        <v>2503-425</v>
      </c>
      <c r="B137" s="1" t="str">
        <f>IFERROR(__xludf.DUMMYFUNCTION("""COMPUTED_VALUE"""),"Foster-San-Diego-ADU")</f>
        <v>Foster-San-Diego-ADU</v>
      </c>
      <c r="C137" s="1" t="str">
        <f>IFERROR(__xludf.DUMMYFUNCTION("""COMPUTED_VALUE"""),"A009 Resubmitted")</f>
        <v>A009 Resubmitted</v>
      </c>
      <c r="D137" s="4">
        <f>IFERROR(__xludf.DUMMYFUNCTION("""COMPUTED_VALUE"""),1063245.0)</f>
        <v>1063245</v>
      </c>
      <c r="E137" s="5" t="s">
        <v>20</v>
      </c>
      <c r="F137" s="2"/>
      <c r="J137" s="2" t="s">
        <v>47</v>
      </c>
      <c r="K137" s="2" t="s">
        <v>22</v>
      </c>
      <c r="L137" s="2" t="s">
        <v>26</v>
      </c>
      <c r="M137" s="5" t="s">
        <v>48</v>
      </c>
      <c r="N137" s="5" t="s">
        <v>24</v>
      </c>
      <c r="O137" s="5" t="s">
        <v>44</v>
      </c>
      <c r="S137" s="3">
        <v>46006.02051770833</v>
      </c>
      <c r="T137" s="6"/>
      <c r="U137" s="6"/>
      <c r="V137" s="3">
        <v>46005.54099833334</v>
      </c>
      <c r="W137" s="3">
        <v>46005.54109229166</v>
      </c>
      <c r="X137" s="6"/>
    </row>
    <row r="138">
      <c r="A138" s="1" t="str">
        <f>IFERROR(__xludf.DUMMYFUNCTION("""COMPUTED_VALUE"""),"2503-424")</f>
        <v>2503-424</v>
      </c>
      <c r="B138" s="1" t="str">
        <f>IFERROR(__xludf.DUMMYFUNCTION("""COMPUTED_VALUE"""),"Stebbins-Altadena-Fire-Rebuild")</f>
        <v>Stebbins-Altadena-Fire-Rebuild</v>
      </c>
      <c r="C138" s="1" t="str">
        <f>IFERROR(__xludf.DUMMYFUNCTION("""COMPUTED_VALUE"""),"A008.8 Pending Resubmittal")</f>
        <v>A008.8 Pending Resubmittal</v>
      </c>
      <c r="D138" s="4">
        <f>IFERROR(__xludf.DUMMYFUNCTION("""COMPUTED_VALUE"""),1063122.0)</f>
        <v>1063122</v>
      </c>
      <c r="E138" s="5" t="s">
        <v>20</v>
      </c>
      <c r="J138" s="2" t="s">
        <v>39</v>
      </c>
      <c r="K138" s="2" t="s">
        <v>47</v>
      </c>
      <c r="L138" s="2" t="s">
        <v>50</v>
      </c>
      <c r="M138" s="5" t="s">
        <v>48</v>
      </c>
      <c r="N138" s="5" t="s">
        <v>48</v>
      </c>
      <c r="O138" s="5" t="s">
        <v>37</v>
      </c>
      <c r="S138" s="6"/>
      <c r="T138" s="6"/>
      <c r="U138" s="6"/>
      <c r="V138" s="6"/>
      <c r="W138" s="6"/>
      <c r="X138" s="6"/>
    </row>
    <row r="139">
      <c r="A139" s="1" t="str">
        <f>IFERROR(__xludf.DUMMYFUNCTION("""COMPUTED_VALUE"""),"2503-423")</f>
        <v>2503-423</v>
      </c>
      <c r="B139" s="1" t="str">
        <f>IFERROR(__xludf.DUMMYFUNCTION("""COMPUTED_VALUE"""),"Carey-Cathedral-JADU")</f>
        <v>Carey-Cathedral-JADU</v>
      </c>
      <c r="C139" s="1" t="str">
        <f>IFERROR(__xludf.DUMMYFUNCTION("""COMPUTED_VALUE"""),"Abandoned,Expired")</f>
        <v>Abandoned,Expired</v>
      </c>
      <c r="D139" s="4">
        <f>IFERROR(__xludf.DUMMYFUNCTION("""COMPUTED_VALUE"""),1058787.0)</f>
        <v>1058787</v>
      </c>
      <c r="E139" s="5" t="s">
        <v>34</v>
      </c>
      <c r="J139" s="2" t="s">
        <v>47</v>
      </c>
      <c r="K139" s="2" t="s">
        <v>42</v>
      </c>
      <c r="L139" s="2" t="s">
        <v>33</v>
      </c>
      <c r="M139" s="5" t="s">
        <v>48</v>
      </c>
      <c r="N139" s="5" t="s">
        <v>48</v>
      </c>
      <c r="O139" s="5" t="s">
        <v>37</v>
      </c>
      <c r="S139" s="6"/>
      <c r="T139" s="6"/>
      <c r="U139" s="6"/>
      <c r="V139" s="6"/>
      <c r="W139" s="6"/>
      <c r="X139" s="6"/>
    </row>
    <row r="140">
      <c r="A140" s="1" t="str">
        <f>IFERROR(__xludf.DUMMYFUNCTION("""COMPUTED_VALUE"""),"2503-422")</f>
        <v>2503-422</v>
      </c>
      <c r="B140" s="1" t="str">
        <f>IFERROR(__xludf.DUMMYFUNCTION("""COMPUTED_VALUE"""),"Holcomb San Diego Addition and GADU")</f>
        <v>Holcomb San Diego Addition and GADU</v>
      </c>
      <c r="C140" s="1" t="str">
        <f>IFERROR(__xludf.DUMMYFUNCTION("""COMPUTED_VALUE"""),"A009 Resubmitted")</f>
        <v>A009 Resubmitted</v>
      </c>
      <c r="D140" s="4">
        <f>IFERROR(__xludf.DUMMYFUNCTION("""COMPUTED_VALUE"""),1057819.0)</f>
        <v>1057819</v>
      </c>
      <c r="E140" s="5" t="s">
        <v>20</v>
      </c>
      <c r="J140" s="2" t="s">
        <v>25</v>
      </c>
      <c r="K140" s="2" t="s">
        <v>35</v>
      </c>
      <c r="L140" s="2" t="s">
        <v>40</v>
      </c>
      <c r="M140" s="5" t="s">
        <v>27</v>
      </c>
      <c r="N140" s="5" t="s">
        <v>44</v>
      </c>
      <c r="O140" s="5" t="s">
        <v>27</v>
      </c>
      <c r="S140" s="6"/>
      <c r="T140" s="6"/>
      <c r="U140" s="6"/>
      <c r="V140" s="6"/>
      <c r="W140" s="6"/>
      <c r="X140" s="6"/>
    </row>
    <row r="141">
      <c r="A141" s="1" t="str">
        <f>IFERROR(__xludf.DUMMYFUNCTION("""COMPUTED_VALUE"""),"2503-421")</f>
        <v>2503-421</v>
      </c>
      <c r="B141" s="1" t="str">
        <f>IFERROR(__xludf.DUMMYFUNCTION("""COMPUTED_VALUE"""),"Lewis Altadena Fire Rebuild")</f>
        <v>Lewis Altadena Fire Rebuild</v>
      </c>
      <c r="C141" s="1" t="str">
        <f>IFERROR(__xludf.DUMMYFUNCTION("""COMPUTED_VALUE"""),"A009 Resubmitted")</f>
        <v>A009 Resubmitted</v>
      </c>
      <c r="D141" s="4">
        <f>IFERROR(__xludf.DUMMYFUNCTION("""COMPUTED_VALUE"""),1056810.0)</f>
        <v>1056810</v>
      </c>
      <c r="E141" s="5" t="s">
        <v>20</v>
      </c>
      <c r="F141" s="2"/>
      <c r="J141" s="2" t="s">
        <v>49</v>
      </c>
      <c r="K141" s="2" t="s">
        <v>35</v>
      </c>
      <c r="L141" s="2" t="s">
        <v>26</v>
      </c>
      <c r="M141" s="5" t="s">
        <v>37</v>
      </c>
      <c r="N141" s="5" t="s">
        <v>44</v>
      </c>
      <c r="O141" s="5" t="s">
        <v>27</v>
      </c>
      <c r="S141" s="6"/>
      <c r="T141" s="6"/>
      <c r="U141" s="6"/>
      <c r="V141" s="3">
        <v>46005.54113010417</v>
      </c>
      <c r="W141" s="3">
        <v>46005.541118090274</v>
      </c>
      <c r="X141" s="6"/>
    </row>
    <row r="142">
      <c r="A142" s="1" t="str">
        <f>IFERROR(__xludf.DUMMYFUNCTION("""COMPUTED_VALUE"""),"2503-420")</f>
        <v>2503-420</v>
      </c>
      <c r="B142" s="1" t="str">
        <f>IFERROR(__xludf.DUMMYFUNCTION("""COMPUTED_VALUE"""),"Juliana-LA-Lower-Deck-and-Den")</f>
        <v>Juliana-LA-Lower-Deck-and-Den</v>
      </c>
      <c r="C142" s="1" t="str">
        <f>IFERROR(__xludf.DUMMYFUNCTION("""COMPUTED_VALUE"""),"A008.2 Architectural Comment Responses")</f>
        <v>A008.2 Architectural Comment Responses</v>
      </c>
      <c r="D142" s="4">
        <f>IFERROR(__xludf.DUMMYFUNCTION("""COMPUTED_VALUE"""),1056733.0)</f>
        <v>1056733</v>
      </c>
      <c r="E142" s="5" t="s">
        <v>34</v>
      </c>
      <c r="J142" s="2" t="s">
        <v>47</v>
      </c>
      <c r="K142" s="2" t="s">
        <v>51</v>
      </c>
      <c r="L142" s="2" t="s">
        <v>49</v>
      </c>
      <c r="M142" s="5" t="s">
        <v>44</v>
      </c>
      <c r="N142" s="5" t="s">
        <v>37</v>
      </c>
      <c r="O142" s="5" t="s">
        <v>48</v>
      </c>
      <c r="S142" s="6"/>
      <c r="T142" s="6"/>
      <c r="U142" s="6"/>
      <c r="V142" s="6"/>
      <c r="W142" s="6"/>
      <c r="X142" s="6"/>
    </row>
    <row r="143">
      <c r="A143" s="1" t="str">
        <f>IFERROR(__xludf.DUMMYFUNCTION("""COMPUTED_VALUE"""),"2503-419")</f>
        <v>2503-419</v>
      </c>
      <c r="B143" s="1" t="str">
        <f>IFERROR(__xludf.DUMMYFUNCTION("""COMPUTED_VALUE"""),"Ochoa-Altadena-Fire-Rebuild")</f>
        <v>Ochoa-Altadena-Fire-Rebuild</v>
      </c>
      <c r="C143" s="1" t="str">
        <f>IFERROR(__xludf.DUMMYFUNCTION("""COMPUTED_VALUE"""),"Approved - Construction Phase")</f>
        <v>Approved - Construction Phase</v>
      </c>
      <c r="D143" s="4">
        <f>IFERROR(__xludf.DUMMYFUNCTION("""COMPUTED_VALUE"""),1054424.0)</f>
        <v>1054424</v>
      </c>
      <c r="E143" s="5" t="s">
        <v>20</v>
      </c>
      <c r="F143" s="2"/>
      <c r="J143" s="2" t="s">
        <v>39</v>
      </c>
      <c r="K143" s="2" t="s">
        <v>43</v>
      </c>
      <c r="L143" s="2" t="s">
        <v>49</v>
      </c>
      <c r="M143" s="5" t="s">
        <v>48</v>
      </c>
      <c r="N143" s="5" t="s">
        <v>44</v>
      </c>
      <c r="O143" s="5" t="s">
        <v>44</v>
      </c>
      <c r="S143" s="6"/>
      <c r="T143" s="6"/>
      <c r="U143" s="6"/>
      <c r="V143" s="3">
        <v>46005.541192847224</v>
      </c>
      <c r="W143" s="3">
        <v>46005.54118015047</v>
      </c>
      <c r="X143" s="6"/>
    </row>
    <row r="144">
      <c r="A144" s="1" t="str">
        <f>IFERROR(__xludf.DUMMYFUNCTION("""COMPUTED_VALUE"""),"2503-418")</f>
        <v>2503-418</v>
      </c>
      <c r="B144" s="1" t="str">
        <f>IFERROR(__xludf.DUMMYFUNCTION("""COMPUTED_VALUE"""),"Nguyen-Westminister-JADU-and-Addition")</f>
        <v>Nguyen-Westminister-JADU-and-Addition</v>
      </c>
      <c r="C144" s="1" t="str">
        <f>IFERROR(__xludf.DUMMYFUNCTION("""COMPUTED_VALUE"""),"A009 Resubmitted")</f>
        <v>A009 Resubmitted</v>
      </c>
      <c r="D144" s="4">
        <f>IFERROR(__xludf.DUMMYFUNCTION("""COMPUTED_VALUE"""),1052811.0)</f>
        <v>1052811</v>
      </c>
      <c r="E144" s="5" t="s">
        <v>20</v>
      </c>
      <c r="F144" s="2"/>
      <c r="J144" s="2" t="s">
        <v>35</v>
      </c>
      <c r="K144" s="2" t="s">
        <v>42</v>
      </c>
      <c r="L144" s="2" t="s">
        <v>23</v>
      </c>
      <c r="M144" s="5" t="s">
        <v>24</v>
      </c>
      <c r="N144" s="5" t="s">
        <v>37</v>
      </c>
      <c r="O144" s="5" t="s">
        <v>27</v>
      </c>
      <c r="S144" s="6"/>
      <c r="T144" s="6"/>
      <c r="U144" s="6"/>
      <c r="V144" s="3">
        <v>46005.54148153935</v>
      </c>
      <c r="W144" s="3">
        <v>46005.54145184028</v>
      </c>
      <c r="X144" s="6"/>
    </row>
    <row r="145">
      <c r="A145" s="1" t="str">
        <f>IFERROR(__xludf.DUMMYFUNCTION("""COMPUTED_VALUE"""),"2503-417")</f>
        <v>2503-417</v>
      </c>
      <c r="B145" s="1" t="str">
        <f>IFERROR(__xludf.DUMMYFUNCTION("""COMPUTED_VALUE"""),"Mitchner-Palisades-Galloway-Fire-Rebuild")</f>
        <v>Mitchner-Palisades-Galloway-Fire-Rebuild</v>
      </c>
      <c r="C145" s="1" t="str">
        <f>IFERROR(__xludf.DUMMYFUNCTION("""COMPUTED_VALUE"""),"A008.2 Architectural Comment Responses")</f>
        <v>A008.2 Architectural Comment Responses</v>
      </c>
      <c r="D145" s="4">
        <f>IFERROR(__xludf.DUMMYFUNCTION("""COMPUTED_VALUE"""),1050874.0)</f>
        <v>1050874</v>
      </c>
      <c r="E145" s="5" t="s">
        <v>20</v>
      </c>
      <c r="F145" s="2"/>
      <c r="J145" s="2" t="s">
        <v>36</v>
      </c>
      <c r="K145" s="2" t="s">
        <v>33</v>
      </c>
      <c r="L145" s="2" t="s">
        <v>51</v>
      </c>
      <c r="M145" s="5" t="s">
        <v>44</v>
      </c>
      <c r="N145" s="5" t="s">
        <v>27</v>
      </c>
      <c r="O145" s="5" t="s">
        <v>37</v>
      </c>
      <c r="S145" s="3">
        <v>46006.06989431713</v>
      </c>
      <c r="T145" s="6"/>
      <c r="U145" s="6"/>
      <c r="V145" s="3">
        <v>46005.5415484375</v>
      </c>
      <c r="W145" s="3">
        <v>46005.54153461805</v>
      </c>
      <c r="X145" s="6"/>
    </row>
    <row r="146">
      <c r="A146" s="1" t="str">
        <f>IFERROR(__xludf.DUMMYFUNCTION("""COMPUTED_VALUE"""),"2503-416")</f>
        <v>2503-416</v>
      </c>
      <c r="B146" s="1" t="str">
        <f>IFERROR(__xludf.DUMMYFUNCTION("""COMPUTED_VALUE"""),"Mitchner-Palisades-Fiske-Fire-Rebuild")</f>
        <v>Mitchner-Palisades-Fiske-Fire-Rebuild</v>
      </c>
      <c r="C146" s="1" t="str">
        <f>IFERROR(__xludf.DUMMYFUNCTION("""COMPUTED_VALUE"""),"A009 Resubmitted")</f>
        <v>A009 Resubmitted</v>
      </c>
      <c r="D146" s="4">
        <f>IFERROR(__xludf.DUMMYFUNCTION("""COMPUTED_VALUE"""),1050595.0)</f>
        <v>1050595</v>
      </c>
      <c r="E146" s="5" t="s">
        <v>34</v>
      </c>
      <c r="J146" s="2" t="s">
        <v>51</v>
      </c>
      <c r="K146" s="2" t="s">
        <v>51</v>
      </c>
      <c r="L146" s="2" t="s">
        <v>25</v>
      </c>
      <c r="M146" s="5" t="s">
        <v>27</v>
      </c>
      <c r="N146" s="5" t="s">
        <v>24</v>
      </c>
      <c r="O146" s="5" t="s">
        <v>37</v>
      </c>
      <c r="S146" s="6"/>
      <c r="T146" s="6"/>
      <c r="U146" s="6"/>
      <c r="V146" s="6"/>
      <c r="W146" s="6"/>
      <c r="X146" s="6"/>
    </row>
    <row r="147">
      <c r="A147" s="1" t="str">
        <f>IFERROR(__xludf.DUMMYFUNCTION("""COMPUTED_VALUE"""),"2503-415")</f>
        <v>2503-415</v>
      </c>
      <c r="B147" s="1" t="str">
        <f>IFERROR(__xludf.DUMMYFUNCTION("""COMPUTED_VALUE"""),"Amari-Palos-Verdes-New-SFH")</f>
        <v>Amari-Palos-Verdes-New-SFH</v>
      </c>
      <c r="C147" s="1" t="str">
        <f>IFERROR(__xludf.DUMMYFUNCTION("""COMPUTED_VALUE"""),"A005.9 - Submitted to Planning")</f>
        <v>A005.9 - Submitted to Planning</v>
      </c>
      <c r="D147" s="4">
        <f>IFERROR(__xludf.DUMMYFUNCTION("""COMPUTED_VALUE"""),1048905.0)</f>
        <v>1048905</v>
      </c>
      <c r="E147" s="5" t="s">
        <v>34</v>
      </c>
      <c r="F147" s="2"/>
      <c r="J147" s="2" t="s">
        <v>26</v>
      </c>
      <c r="K147" s="2" t="s">
        <v>50</v>
      </c>
      <c r="L147" s="2" t="s">
        <v>26</v>
      </c>
      <c r="M147" s="5" t="s">
        <v>44</v>
      </c>
      <c r="N147" s="5" t="s">
        <v>24</v>
      </c>
      <c r="O147" s="5" t="s">
        <v>24</v>
      </c>
      <c r="S147" s="3">
        <v>46005.54633997685</v>
      </c>
      <c r="T147" s="6"/>
      <c r="U147" s="6"/>
      <c r="V147" s="3">
        <v>46005.5468959375</v>
      </c>
      <c r="W147" s="3">
        <v>46005.5416410301</v>
      </c>
      <c r="X147" s="6"/>
    </row>
    <row r="148">
      <c r="A148" s="1" t="str">
        <f>IFERROR(__xludf.DUMMYFUNCTION("""COMPUTED_VALUE"""),"2503-414")</f>
        <v>2503-414</v>
      </c>
      <c r="B148" s="1" t="str">
        <f>IFERROR(__xludf.DUMMYFUNCTION("""COMPUTED_VALUE"""),"Reynolds Pasadena Fire Rebuild")</f>
        <v>Reynolds Pasadena Fire Rebuild</v>
      </c>
      <c r="C148" s="1" t="str">
        <f>IFERROR(__xludf.DUMMYFUNCTION("""COMPUTED_VALUE"""),"Approved - Construction Phase")</f>
        <v>Approved - Construction Phase</v>
      </c>
      <c r="D148" s="4">
        <f>IFERROR(__xludf.DUMMYFUNCTION("""COMPUTED_VALUE"""),1046839.0)</f>
        <v>1046839</v>
      </c>
      <c r="E148" s="5" t="s">
        <v>20</v>
      </c>
      <c r="J148" s="2" t="s">
        <v>40</v>
      </c>
      <c r="K148" s="2" t="s">
        <v>40</v>
      </c>
      <c r="L148" s="2" t="s">
        <v>35</v>
      </c>
      <c r="M148" s="5" t="s">
        <v>27</v>
      </c>
      <c r="N148" s="5" t="s">
        <v>27</v>
      </c>
      <c r="O148" s="5" t="s">
        <v>24</v>
      </c>
      <c r="S148" s="6"/>
      <c r="T148" s="6"/>
      <c r="U148" s="6"/>
      <c r="V148" s="6"/>
      <c r="W148" s="6"/>
      <c r="X148" s="6"/>
    </row>
    <row r="149">
      <c r="A149" s="1" t="str">
        <f>IFERROR(__xludf.DUMMYFUNCTION("""COMPUTED_VALUE"""),"2503-413")</f>
        <v>2503-413</v>
      </c>
      <c r="B149" s="1" t="str">
        <f>IFERROR(__xludf.DUMMYFUNCTION("""COMPUTED_VALUE"""),"Antrim Lake Elsinore Modular ADU")</f>
        <v>Antrim Lake Elsinore Modular ADU</v>
      </c>
      <c r="C149" s="1" t="str">
        <f>IFERROR(__xludf.DUMMYFUNCTION("""COMPUTED_VALUE"""),"Completed - Sent to Client")</f>
        <v>Completed - Sent to Client</v>
      </c>
      <c r="D149" s="4">
        <f>IFERROR(__xludf.DUMMYFUNCTION("""COMPUTED_VALUE"""),1045531.0)</f>
        <v>1045531</v>
      </c>
      <c r="E149" s="5" t="s">
        <v>34</v>
      </c>
      <c r="J149" s="2" t="s">
        <v>50</v>
      </c>
      <c r="K149" s="2" t="s">
        <v>39</v>
      </c>
      <c r="L149" s="2" t="s">
        <v>35</v>
      </c>
      <c r="M149" s="5" t="s">
        <v>44</v>
      </c>
      <c r="N149" s="5" t="s">
        <v>24</v>
      </c>
      <c r="O149" s="5" t="s">
        <v>37</v>
      </c>
      <c r="S149" s="6"/>
      <c r="T149" s="6"/>
      <c r="U149" s="6"/>
      <c r="V149" s="6"/>
      <c r="W149" s="3">
        <v>46005.54181751158</v>
      </c>
      <c r="X149" s="6"/>
    </row>
    <row r="150">
      <c r="A150" s="1" t="str">
        <f>IFERROR(__xludf.DUMMYFUNCTION("""COMPUTED_VALUE"""),"2503-412")</f>
        <v>2503-412</v>
      </c>
      <c r="B150" s="1" t="str">
        <f>IFERROR(__xludf.DUMMYFUNCTION("""COMPUTED_VALUE"""),"Kao Brea Commercial Site and Floor Plans")</f>
        <v>Kao Brea Commercial Site and Floor Plans</v>
      </c>
      <c r="C150" s="1" t="str">
        <f>IFERROR(__xludf.DUMMYFUNCTION("""COMPUTED_VALUE"""),"Approved - Construction Phase")</f>
        <v>Approved - Construction Phase</v>
      </c>
      <c r="D150" s="4">
        <f>IFERROR(__xludf.DUMMYFUNCTION("""COMPUTED_VALUE"""),1044481.0)</f>
        <v>1044481</v>
      </c>
      <c r="E150" s="5" t="s">
        <v>34</v>
      </c>
      <c r="J150" s="2" t="s">
        <v>49</v>
      </c>
      <c r="K150" s="2" t="s">
        <v>25</v>
      </c>
      <c r="L150" s="2" t="s">
        <v>39</v>
      </c>
      <c r="M150" s="5" t="s">
        <v>48</v>
      </c>
      <c r="N150" s="5" t="s">
        <v>37</v>
      </c>
      <c r="O150" s="5" t="s">
        <v>24</v>
      </c>
      <c r="S150" s="6"/>
      <c r="T150" s="6"/>
      <c r="U150" s="6"/>
      <c r="V150" s="6"/>
      <c r="W150" s="6"/>
      <c r="X150" s="6"/>
    </row>
    <row r="151">
      <c r="A151" s="1" t="str">
        <f>IFERROR(__xludf.DUMMYFUNCTION("""COMPUTED_VALUE"""),"2503-411")</f>
        <v>2503-411</v>
      </c>
      <c r="B151" s="1" t="str">
        <f>IFERROR(__xludf.DUMMYFUNCTION("""COMPUTED_VALUE"""),"Brotman LA Duplex Permitting")</f>
        <v>Brotman LA Duplex Permitting</v>
      </c>
      <c r="C151" s="1" t="str">
        <f>IFERROR(__xludf.DUMMYFUNCTION("""COMPUTED_VALUE"""),"Paused - Stalled by 3rd Party")</f>
        <v>Paused - Stalled by 3rd Party</v>
      </c>
      <c r="D151" s="4">
        <f>IFERROR(__xludf.DUMMYFUNCTION("""COMPUTED_VALUE"""),1044221.0)</f>
        <v>1044221</v>
      </c>
      <c r="E151" s="5" t="s">
        <v>34</v>
      </c>
      <c r="J151" s="2" t="s">
        <v>43</v>
      </c>
      <c r="K151" s="2" t="s">
        <v>47</v>
      </c>
      <c r="L151" s="2" t="s">
        <v>36</v>
      </c>
      <c r="M151" s="5" t="s">
        <v>37</v>
      </c>
      <c r="N151" s="5" t="s">
        <v>44</v>
      </c>
      <c r="O151" s="5" t="s">
        <v>48</v>
      </c>
      <c r="S151" s="6"/>
      <c r="T151" s="6"/>
      <c r="U151" s="6"/>
      <c r="V151" s="6"/>
      <c r="W151" s="6"/>
      <c r="X151" s="6"/>
    </row>
    <row r="152">
      <c r="A152" s="1" t="str">
        <f>IFERROR(__xludf.DUMMYFUNCTION("""COMPUTED_VALUE"""),"2503-410")</f>
        <v>2503-410</v>
      </c>
      <c r="B152" s="1" t="str">
        <f>IFERROR(__xludf.DUMMYFUNCTION("""COMPUTED_VALUE"""),"Skibinski Altadena Rebuild")</f>
        <v>Skibinski Altadena Rebuild</v>
      </c>
      <c r="C152" s="1" t="str">
        <f>IFERROR(__xludf.DUMMYFUNCTION("""COMPUTED_VALUE"""),"Approved - Construction Phase")</f>
        <v>Approved - Construction Phase</v>
      </c>
      <c r="D152" s="4">
        <f>IFERROR(__xludf.DUMMYFUNCTION("""COMPUTED_VALUE"""),1042075.0)</f>
        <v>1042075</v>
      </c>
      <c r="E152" s="5" t="s">
        <v>34</v>
      </c>
      <c r="J152" s="2" t="s">
        <v>35</v>
      </c>
      <c r="K152" s="2" t="s">
        <v>40</v>
      </c>
      <c r="L152" s="2" t="s">
        <v>32</v>
      </c>
      <c r="M152" s="5" t="s">
        <v>27</v>
      </c>
      <c r="N152" s="5" t="s">
        <v>37</v>
      </c>
      <c r="O152" s="5" t="s">
        <v>48</v>
      </c>
      <c r="S152" s="6"/>
      <c r="T152" s="6"/>
      <c r="U152" s="6"/>
      <c r="V152" s="6"/>
      <c r="W152" s="6"/>
      <c r="X152" s="6"/>
    </row>
    <row r="153">
      <c r="A153" s="1" t="str">
        <f>IFERROR(__xludf.DUMMYFUNCTION("""COMPUTED_VALUE"""),"2503-409")</f>
        <v>2503-409</v>
      </c>
      <c r="B153" s="1" t="str">
        <f>IFERROR(__xludf.DUMMYFUNCTION("""COMPUTED_VALUE"""),"Goldman-Tarzana-Permitting-Plans")</f>
        <v>Goldman-Tarzana-Permitting-Plans</v>
      </c>
      <c r="C153" s="1" t="str">
        <f>IFERROR(__xludf.DUMMYFUNCTION("""COMPUTED_VALUE"""),"Abandoned,Expired")</f>
        <v>Abandoned,Expired</v>
      </c>
      <c r="D153" s="4">
        <f>IFERROR(__xludf.DUMMYFUNCTION("""COMPUTED_VALUE"""),1041521.0)</f>
        <v>1041521</v>
      </c>
      <c r="E153" s="5" t="s">
        <v>34</v>
      </c>
      <c r="J153" s="2" t="s">
        <v>33</v>
      </c>
      <c r="K153" s="2" t="s">
        <v>23</v>
      </c>
      <c r="L153" s="2" t="s">
        <v>43</v>
      </c>
      <c r="M153" s="5" t="s">
        <v>27</v>
      </c>
      <c r="N153" s="5" t="s">
        <v>24</v>
      </c>
      <c r="O153" s="5" t="s">
        <v>44</v>
      </c>
      <c r="S153" s="6"/>
      <c r="T153" s="6"/>
      <c r="U153" s="6"/>
      <c r="V153" s="6"/>
      <c r="W153" s="3">
        <v>46006.004900844906</v>
      </c>
      <c r="X153" s="6"/>
    </row>
    <row r="154">
      <c r="A154" s="1" t="str">
        <f>IFERROR(__xludf.DUMMYFUNCTION("""COMPUTED_VALUE"""),"2503-408")</f>
        <v>2503-408</v>
      </c>
      <c r="B154" s="1" t="str">
        <f>IFERROR(__xludf.DUMMYFUNCTION("""COMPUTED_VALUE"""),"Linnett-Oxnard-ADU-Pemit")</f>
        <v>Linnett-Oxnard-ADU-Pemit</v>
      </c>
      <c r="C154" s="1" t="str">
        <f>IFERROR(__xludf.DUMMYFUNCTION("""COMPUTED_VALUE"""),"Approved - Construction Phase")</f>
        <v>Approved - Construction Phase</v>
      </c>
      <c r="D154" s="4">
        <f>IFERROR(__xludf.DUMMYFUNCTION("""COMPUTED_VALUE"""),1040849.0)</f>
        <v>1040849</v>
      </c>
      <c r="E154" s="5" t="s">
        <v>20</v>
      </c>
      <c r="J154" s="2" t="s">
        <v>43</v>
      </c>
      <c r="K154" s="2" t="s">
        <v>39</v>
      </c>
      <c r="L154" s="2" t="s">
        <v>43</v>
      </c>
      <c r="M154" s="5" t="s">
        <v>44</v>
      </c>
      <c r="N154" s="5" t="s">
        <v>44</v>
      </c>
      <c r="O154" s="5" t="s">
        <v>44</v>
      </c>
      <c r="S154" s="6"/>
      <c r="T154" s="6"/>
      <c r="U154" s="6"/>
      <c r="V154" s="6"/>
      <c r="W154" s="6"/>
      <c r="X154" s="6"/>
    </row>
    <row r="155">
      <c r="A155" s="1" t="str">
        <f>IFERROR(__xludf.DUMMYFUNCTION("""COMPUTED_VALUE"""),"2503-407")</f>
        <v>2503-407</v>
      </c>
      <c r="B155" s="1" t="str">
        <f>IFERROR(__xludf.DUMMYFUNCTION("""COMPUTED_VALUE"""),"Tijerina-SD-Pergola-Patio-Permits")</f>
        <v>Tijerina-SD-Pergola-Patio-Permits</v>
      </c>
      <c r="C155" s="1" t="str">
        <f>IFERROR(__xludf.DUMMYFUNCTION("""COMPUTED_VALUE"""),"A008.5 Structural Engineering Corrections")</f>
        <v>A008.5 Structural Engineering Corrections</v>
      </c>
      <c r="D155" s="4">
        <f>IFERROR(__xludf.DUMMYFUNCTION("""COMPUTED_VALUE"""),1038345.0)</f>
        <v>1038345</v>
      </c>
      <c r="E155" s="5" t="s">
        <v>34</v>
      </c>
      <c r="J155" s="2" t="s">
        <v>25</v>
      </c>
      <c r="K155" s="2" t="s">
        <v>33</v>
      </c>
      <c r="L155" s="2" t="s">
        <v>47</v>
      </c>
      <c r="M155" s="5" t="s">
        <v>44</v>
      </c>
      <c r="N155" s="5" t="s">
        <v>24</v>
      </c>
      <c r="O155" s="5" t="s">
        <v>37</v>
      </c>
      <c r="S155" s="6"/>
      <c r="T155" s="6"/>
      <c r="U155" s="6"/>
      <c r="V155" s="6"/>
      <c r="W155" s="6"/>
      <c r="X155" s="6"/>
    </row>
    <row r="156">
      <c r="A156" s="1" t="str">
        <f>IFERROR(__xludf.DUMMYFUNCTION("""COMPUTED_VALUE"""),"2503-406")</f>
        <v>2503-406</v>
      </c>
      <c r="B156" s="1" t="str">
        <f>IFERROR(__xludf.DUMMYFUNCTION("""COMPUTED_VALUE"""),"Dahdah-San-Pedro-Garage-ADU")</f>
        <v>Dahdah-San-Pedro-Garage-ADU</v>
      </c>
      <c r="C156" s="1" t="str">
        <f>IFERROR(__xludf.DUMMYFUNCTION("""COMPUTED_VALUE"""),"Approved - Construction Phase")</f>
        <v>Approved - Construction Phase</v>
      </c>
      <c r="D156" s="4">
        <f>IFERROR(__xludf.DUMMYFUNCTION("""COMPUTED_VALUE"""),1038284.0)</f>
        <v>1038284</v>
      </c>
      <c r="E156" s="5" t="s">
        <v>34</v>
      </c>
      <c r="J156" s="2" t="s">
        <v>49</v>
      </c>
      <c r="K156" s="2" t="s">
        <v>49</v>
      </c>
      <c r="L156" s="2" t="s">
        <v>49</v>
      </c>
      <c r="M156" s="5" t="s">
        <v>44</v>
      </c>
      <c r="N156" s="5" t="s">
        <v>24</v>
      </c>
      <c r="O156" s="5" t="s">
        <v>37</v>
      </c>
      <c r="S156" s="6"/>
      <c r="T156" s="6"/>
      <c r="U156" s="6"/>
      <c r="V156" s="6"/>
      <c r="W156" s="6"/>
      <c r="X156" s="6"/>
    </row>
    <row r="157">
      <c r="A157" s="1" t="str">
        <f>IFERROR(__xludf.DUMMYFUNCTION("""COMPUTED_VALUE"""),"2502-405")</f>
        <v>2502-405</v>
      </c>
      <c r="B157" s="1" t="str">
        <f>IFERROR(__xludf.DUMMYFUNCTION("""COMPUTED_VALUE"""),"Gavin-Vista-Structural-Plans")</f>
        <v>Gavin-Vista-Structural-Plans</v>
      </c>
      <c r="C157" s="1" t="str">
        <f>IFERROR(__xludf.DUMMYFUNCTION("""COMPUTED_VALUE"""),"A009 Resubmitted")</f>
        <v>A009 Resubmitted</v>
      </c>
      <c r="D157" s="4">
        <f>IFERROR(__xludf.DUMMYFUNCTION("""COMPUTED_VALUE"""),1036995.0)</f>
        <v>1036995</v>
      </c>
      <c r="E157" s="5" t="s">
        <v>34</v>
      </c>
      <c r="J157" s="2" t="s">
        <v>26</v>
      </c>
      <c r="K157" s="2" t="s">
        <v>26</v>
      </c>
      <c r="L157" s="2" t="s">
        <v>22</v>
      </c>
      <c r="M157" s="5" t="s">
        <v>24</v>
      </c>
      <c r="N157" s="5" t="s">
        <v>48</v>
      </c>
      <c r="O157" s="5" t="s">
        <v>44</v>
      </c>
      <c r="S157" s="6"/>
      <c r="T157" s="6"/>
      <c r="U157" s="6"/>
      <c r="V157" s="6"/>
      <c r="W157" s="6"/>
      <c r="X157" s="6"/>
    </row>
    <row r="158">
      <c r="A158" s="1" t="str">
        <f>IFERROR(__xludf.DUMMYFUNCTION("""COMPUTED_VALUE"""),"2502-404")</f>
        <v>2502-404</v>
      </c>
      <c r="B158" s="1" t="str">
        <f>IFERROR(__xludf.DUMMYFUNCTION("""COMPUTED_VALUE"""),"Yeck-SD-Deck-and-Balcony-Violation")</f>
        <v>Yeck-SD-Deck-and-Balcony-Violation</v>
      </c>
      <c r="C158" s="1" t="str">
        <f>IFERROR(__xludf.DUMMYFUNCTION("""COMPUTED_VALUE"""),"A009 Resubmitted")</f>
        <v>A009 Resubmitted</v>
      </c>
      <c r="D158" s="4">
        <f>IFERROR(__xludf.DUMMYFUNCTION("""COMPUTED_VALUE"""),1036992.0)</f>
        <v>1036992</v>
      </c>
      <c r="E158" s="5" t="s">
        <v>20</v>
      </c>
      <c r="J158" s="2" t="s">
        <v>25</v>
      </c>
      <c r="K158" s="2" t="s">
        <v>50</v>
      </c>
      <c r="L158" s="2" t="s">
        <v>35</v>
      </c>
      <c r="M158" s="5" t="s">
        <v>48</v>
      </c>
      <c r="N158" s="5" t="s">
        <v>48</v>
      </c>
      <c r="O158" s="5" t="s">
        <v>48</v>
      </c>
      <c r="S158" s="6"/>
      <c r="T158" s="3">
        <v>46005.20652274306</v>
      </c>
      <c r="U158" s="6"/>
      <c r="V158" s="6"/>
      <c r="W158" s="6"/>
      <c r="X158" s="6"/>
    </row>
    <row r="159">
      <c r="A159" s="1" t="str">
        <f>IFERROR(__xludf.DUMMYFUNCTION("""COMPUTED_VALUE"""),"2502-403")</f>
        <v>2502-403</v>
      </c>
      <c r="B159" s="1" t="str">
        <f>IFERROR(__xludf.DUMMYFUNCTION("""COMPUTED_VALUE"""),"Peach-San-Diego-Bathroom-Addition")</f>
        <v>Peach-San-Diego-Bathroom-Addition</v>
      </c>
      <c r="C159" s="1" t="str">
        <f>IFERROR(__xludf.DUMMYFUNCTION("""COMPUTED_VALUE"""),"Approved - Construction Phase")</f>
        <v>Approved - Construction Phase</v>
      </c>
      <c r="D159" s="4">
        <f>IFERROR(__xludf.DUMMYFUNCTION("""COMPUTED_VALUE"""),1035412.0)</f>
        <v>1035412</v>
      </c>
      <c r="E159" s="5" t="s">
        <v>34</v>
      </c>
      <c r="J159" s="2" t="s">
        <v>36</v>
      </c>
      <c r="K159" s="2" t="s">
        <v>33</v>
      </c>
      <c r="L159" s="2" t="s">
        <v>23</v>
      </c>
      <c r="M159" s="5" t="s">
        <v>37</v>
      </c>
      <c r="N159" s="5" t="s">
        <v>24</v>
      </c>
      <c r="O159" s="5" t="s">
        <v>48</v>
      </c>
      <c r="S159" s="6"/>
      <c r="T159" s="6"/>
      <c r="U159" s="6"/>
      <c r="V159" s="6"/>
      <c r="W159" s="6"/>
      <c r="X159" s="6"/>
    </row>
    <row r="160">
      <c r="A160" s="1" t="str">
        <f>IFERROR(__xludf.DUMMYFUNCTION("""COMPUTED_VALUE"""),"2502-402")</f>
        <v>2502-402</v>
      </c>
      <c r="B160" s="1" t="str">
        <f>IFERROR(__xludf.DUMMYFUNCTION("""COMPUTED_VALUE"""),"Stopka-Palisades-New-SFH")</f>
        <v>Stopka-Palisades-New-SFH</v>
      </c>
      <c r="C160" s="1" t="str">
        <f>IFERROR(__xludf.DUMMYFUNCTION("""COMPUTED_VALUE"""),"Approved - Construction Phase")</f>
        <v>Approved - Construction Phase</v>
      </c>
      <c r="D160" s="4">
        <f>IFERROR(__xludf.DUMMYFUNCTION("""COMPUTED_VALUE"""),1034864.0)</f>
        <v>1034864</v>
      </c>
      <c r="E160" s="5" t="s">
        <v>34</v>
      </c>
      <c r="J160" s="2" t="s">
        <v>25</v>
      </c>
      <c r="K160" s="2" t="s">
        <v>47</v>
      </c>
      <c r="L160" s="2" t="s">
        <v>36</v>
      </c>
      <c r="M160" s="5" t="s">
        <v>44</v>
      </c>
      <c r="N160" s="5" t="s">
        <v>24</v>
      </c>
      <c r="O160" s="5" t="s">
        <v>37</v>
      </c>
      <c r="S160" s="6"/>
      <c r="T160" s="6"/>
      <c r="U160" s="6"/>
      <c r="V160" s="6"/>
      <c r="W160" s="6"/>
      <c r="X160" s="6"/>
    </row>
    <row r="161">
      <c r="A161" s="1" t="str">
        <f>IFERROR(__xludf.DUMMYFUNCTION("""COMPUTED_VALUE"""),"2502-401")</f>
        <v>2502-401</v>
      </c>
      <c r="B161" s="1" t="str">
        <f>IFERROR(__xludf.DUMMYFUNCTION("""COMPUTED_VALUE"""),"Johnson-Altadena-SFH-Rebuild")</f>
        <v>Johnson-Altadena-SFH-Rebuild</v>
      </c>
      <c r="C161" s="1" t="str">
        <f>IFERROR(__xludf.DUMMYFUNCTION("""COMPUTED_VALUE"""),"A008.2 Architectural Comment Responses")</f>
        <v>A008.2 Architectural Comment Responses</v>
      </c>
      <c r="D161" s="4">
        <f>IFERROR(__xludf.DUMMYFUNCTION("""COMPUTED_VALUE"""),1033881.0)</f>
        <v>1033881</v>
      </c>
      <c r="E161" s="5" t="s">
        <v>20</v>
      </c>
      <c r="F161" s="2"/>
      <c r="J161" s="2" t="s">
        <v>36</v>
      </c>
      <c r="K161" s="2" t="s">
        <v>39</v>
      </c>
      <c r="L161" s="2" t="s">
        <v>50</v>
      </c>
      <c r="M161" s="5" t="s">
        <v>44</v>
      </c>
      <c r="N161" s="5" t="s">
        <v>27</v>
      </c>
      <c r="O161" s="5" t="s">
        <v>27</v>
      </c>
      <c r="S161" s="3">
        <v>46005.52851239583</v>
      </c>
      <c r="T161" s="6"/>
      <c r="U161" s="6"/>
      <c r="V161" s="3">
        <v>46005.50947903935</v>
      </c>
      <c r="W161" s="3">
        <v>46005.50917888889</v>
      </c>
      <c r="X161" s="6"/>
    </row>
    <row r="162">
      <c r="A162" s="1" t="str">
        <f>IFERROR(__xludf.DUMMYFUNCTION("""COMPUTED_VALUE"""),"2502-400")</f>
        <v>2502-400</v>
      </c>
      <c r="B162" s="1" t="str">
        <f>IFERROR(__xludf.DUMMYFUNCTION("""COMPUTED_VALUE"""),"Vickers-Oceanside-New-Primary-Suite-Plans")</f>
        <v>Vickers-Oceanside-New-Primary-Suite-Plans</v>
      </c>
      <c r="C162" s="1" t="str">
        <f>IFERROR(__xludf.DUMMYFUNCTION("""COMPUTED_VALUE"""),"Approved - Construction Phase")</f>
        <v>Approved - Construction Phase</v>
      </c>
      <c r="D162" s="4">
        <f>IFERROR(__xludf.DUMMYFUNCTION("""COMPUTED_VALUE"""),1033088.0)</f>
        <v>1033088</v>
      </c>
      <c r="E162" s="5" t="s">
        <v>20</v>
      </c>
      <c r="J162" s="2" t="s">
        <v>50</v>
      </c>
      <c r="K162" s="2" t="s">
        <v>23</v>
      </c>
      <c r="L162" s="2" t="s">
        <v>33</v>
      </c>
      <c r="M162" s="5" t="s">
        <v>37</v>
      </c>
      <c r="N162" s="5" t="s">
        <v>48</v>
      </c>
      <c r="O162" s="5" t="s">
        <v>44</v>
      </c>
      <c r="S162" s="6"/>
      <c r="T162" s="6"/>
      <c r="U162" s="6"/>
      <c r="V162" s="6"/>
      <c r="W162" s="6"/>
      <c r="X162" s="6"/>
    </row>
    <row r="163">
      <c r="A163" s="1" t="str">
        <f>IFERROR(__xludf.DUMMYFUNCTION("""COMPUTED_VALUE"""),"2502-399")</f>
        <v>2502-399</v>
      </c>
      <c r="B163" s="1" t="str">
        <f>IFERROR(__xludf.DUMMYFUNCTION("""COMPUTED_VALUE"""),"Ram-Fam-Demo-Colton-Site-Plan")</f>
        <v>Ram-Fam-Demo-Colton-Site-Plan</v>
      </c>
      <c r="C163" s="1" t="str">
        <f>IFERROR(__xludf.DUMMYFUNCTION("""COMPUTED_VALUE"""),"Approved - Construction Phase")</f>
        <v>Approved - Construction Phase</v>
      </c>
      <c r="D163" s="4">
        <f>IFERROR(__xludf.DUMMYFUNCTION("""COMPUTED_VALUE"""),1032957.0)</f>
        <v>1032957</v>
      </c>
      <c r="E163" s="5" t="s">
        <v>20</v>
      </c>
      <c r="J163" s="2" t="s">
        <v>50</v>
      </c>
      <c r="K163" s="2" t="s">
        <v>39</v>
      </c>
      <c r="L163" s="2" t="s">
        <v>32</v>
      </c>
      <c r="M163" s="5" t="s">
        <v>24</v>
      </c>
      <c r="N163" s="5" t="s">
        <v>44</v>
      </c>
      <c r="O163" s="5" t="s">
        <v>44</v>
      </c>
      <c r="S163" s="6"/>
      <c r="T163" s="6"/>
      <c r="U163" s="6"/>
      <c r="V163" s="6"/>
      <c r="W163" s="6"/>
      <c r="X163" s="6"/>
    </row>
    <row r="164">
      <c r="A164" s="1" t="str">
        <f>IFERROR(__xludf.DUMMYFUNCTION("""COMPUTED_VALUE"""),"2502-398")</f>
        <v>2502-398</v>
      </c>
      <c r="B164" s="1" t="str">
        <f>IFERROR(__xludf.DUMMYFUNCTION("""COMPUTED_VALUE"""),"Romero-Moreno-Valley-Garage-ADU")</f>
        <v>Romero-Moreno-Valley-Garage-ADU</v>
      </c>
      <c r="C164" s="1" t="str">
        <f>IFERROR(__xludf.DUMMYFUNCTION("""COMPUTED_VALUE"""),"A009 Resubmitted")</f>
        <v>A009 Resubmitted</v>
      </c>
      <c r="D164" s="4">
        <f>IFERROR(__xludf.DUMMYFUNCTION("""COMPUTED_VALUE"""),1030937.0)</f>
        <v>1030937</v>
      </c>
      <c r="E164" s="5" t="s">
        <v>20</v>
      </c>
      <c r="J164" s="2" t="s">
        <v>23</v>
      </c>
      <c r="K164" s="2" t="s">
        <v>26</v>
      </c>
      <c r="L164" s="2" t="s">
        <v>47</v>
      </c>
      <c r="M164" s="5" t="s">
        <v>27</v>
      </c>
      <c r="N164" s="5" t="s">
        <v>24</v>
      </c>
      <c r="O164" s="5" t="s">
        <v>48</v>
      </c>
      <c r="S164" s="6"/>
      <c r="T164" s="6"/>
      <c r="U164" s="6"/>
      <c r="V164" s="6"/>
      <c r="W164" s="6"/>
      <c r="X164" s="6"/>
    </row>
    <row r="165">
      <c r="A165" s="1" t="str">
        <f>IFERROR(__xludf.DUMMYFUNCTION("""COMPUTED_VALUE"""),"2502-397")</f>
        <v>2502-397</v>
      </c>
      <c r="B165" s="1" t="str">
        <f>IFERROR(__xludf.DUMMYFUNCTION("""COMPUTED_VALUE"""),"Forster-Altadena-Fire-New-SFH")</f>
        <v>Forster-Altadena-Fire-New-SFH</v>
      </c>
      <c r="C165" s="1" t="str">
        <f>IFERROR(__xludf.DUMMYFUNCTION("""COMPUTED_VALUE"""),"A008.6 Arch Packaging Re-Submittal")</f>
        <v>A008.6 Arch Packaging Re-Submittal</v>
      </c>
      <c r="D165" s="4">
        <f>IFERROR(__xludf.DUMMYFUNCTION("""COMPUTED_VALUE"""),1030917.0)</f>
        <v>1030917</v>
      </c>
      <c r="E165" s="5" t="s">
        <v>20</v>
      </c>
      <c r="J165" s="2" t="s">
        <v>43</v>
      </c>
      <c r="K165" s="2" t="s">
        <v>43</v>
      </c>
      <c r="L165" s="2" t="s">
        <v>51</v>
      </c>
      <c r="M165" s="5" t="s">
        <v>48</v>
      </c>
      <c r="N165" s="5" t="s">
        <v>44</v>
      </c>
      <c r="O165" s="5" t="s">
        <v>48</v>
      </c>
      <c r="S165" s="6"/>
      <c r="T165" s="6"/>
      <c r="U165" s="6"/>
      <c r="V165" s="6"/>
      <c r="W165" s="6"/>
      <c r="X165" s="6"/>
    </row>
    <row r="166">
      <c r="A166" s="1" t="str">
        <f>IFERROR(__xludf.DUMMYFUNCTION("""COMPUTED_VALUE"""),"2502-396")</f>
        <v>2502-396</v>
      </c>
      <c r="B166" s="1" t="str">
        <f>IFERROR(__xludf.DUMMYFUNCTION("""COMPUTED_VALUE"""),"Ibrahem-La-Mesa-Structural")</f>
        <v>Ibrahem-La-Mesa-Structural</v>
      </c>
      <c r="C166" s="1" t="str">
        <f>IFERROR(__xludf.DUMMYFUNCTION("""COMPUTED_VALUE"""),"Approved - Construction Phase")</f>
        <v>Approved - Construction Phase</v>
      </c>
      <c r="D166" s="4">
        <f>IFERROR(__xludf.DUMMYFUNCTION("""COMPUTED_VALUE"""),1030837.0)</f>
        <v>1030837</v>
      </c>
      <c r="E166" s="5" t="s">
        <v>34</v>
      </c>
      <c r="J166" s="2" t="s">
        <v>39</v>
      </c>
      <c r="K166" s="2" t="s">
        <v>47</v>
      </c>
      <c r="L166" s="2" t="s">
        <v>25</v>
      </c>
      <c r="M166" s="5" t="s">
        <v>48</v>
      </c>
      <c r="N166" s="5" t="s">
        <v>37</v>
      </c>
      <c r="O166" s="5" t="s">
        <v>37</v>
      </c>
      <c r="S166" s="6"/>
      <c r="T166" s="6"/>
      <c r="U166" s="6"/>
      <c r="V166" s="6"/>
      <c r="W166" s="6"/>
      <c r="X166" s="6"/>
    </row>
    <row r="167">
      <c r="A167" s="1" t="str">
        <f>IFERROR(__xludf.DUMMYFUNCTION("""COMPUTED_VALUE"""),"2502-395")</f>
        <v>2502-395</v>
      </c>
      <c r="B167" s="1" t="str">
        <f>IFERROR(__xludf.DUMMYFUNCTION("""COMPUTED_VALUE"""),"Garcia-Lancaster-New-SFH")</f>
        <v>Garcia-Lancaster-New-SFH</v>
      </c>
      <c r="C167" s="1" t="str">
        <f>IFERROR(__xludf.DUMMYFUNCTION("""COMPUTED_VALUE"""),"A008.5 Structural Engineering Corrections")</f>
        <v>A008.5 Structural Engineering Corrections</v>
      </c>
      <c r="D167" s="4">
        <f>IFERROR(__xludf.DUMMYFUNCTION("""COMPUTED_VALUE"""),1030761.0)</f>
        <v>1030761</v>
      </c>
      <c r="E167" s="5" t="s">
        <v>20</v>
      </c>
      <c r="J167" s="2" t="s">
        <v>47</v>
      </c>
      <c r="K167" s="2" t="s">
        <v>51</v>
      </c>
      <c r="L167" s="2" t="s">
        <v>51</v>
      </c>
      <c r="M167" s="5" t="s">
        <v>24</v>
      </c>
      <c r="N167" s="5" t="s">
        <v>37</v>
      </c>
      <c r="O167" s="5" t="s">
        <v>44</v>
      </c>
      <c r="S167" s="6"/>
      <c r="T167" s="6"/>
      <c r="U167" s="6"/>
      <c r="V167" s="6"/>
      <c r="W167" s="6"/>
      <c r="X167" s="6"/>
    </row>
    <row r="168">
      <c r="A168" s="1" t="str">
        <f>IFERROR(__xludf.DUMMYFUNCTION("""COMPUTED_VALUE"""),"2502-394")</f>
        <v>2502-394</v>
      </c>
      <c r="B168" s="1" t="str">
        <f>IFERROR(__xludf.DUMMYFUNCTION("""COMPUTED_VALUE"""),"Cutbuilt-San Marcos-Addition")</f>
        <v>Cutbuilt-San Marcos-Addition</v>
      </c>
      <c r="C168" s="1" t="str">
        <f>IFERROR(__xludf.DUMMYFUNCTION("""COMPUTED_VALUE"""),"Approved - Construction Phase")</f>
        <v>Approved - Construction Phase</v>
      </c>
      <c r="D168" s="4">
        <f>IFERROR(__xludf.DUMMYFUNCTION("""COMPUTED_VALUE"""),1026477.0)</f>
        <v>1026477</v>
      </c>
      <c r="E168" s="5" t="s">
        <v>20</v>
      </c>
      <c r="J168" s="2" t="s">
        <v>39</v>
      </c>
      <c r="K168" s="2" t="s">
        <v>40</v>
      </c>
      <c r="L168" s="2" t="s">
        <v>50</v>
      </c>
      <c r="M168" s="5" t="s">
        <v>24</v>
      </c>
      <c r="N168" s="5" t="s">
        <v>44</v>
      </c>
      <c r="O168" s="5" t="s">
        <v>37</v>
      </c>
      <c r="S168" s="6"/>
      <c r="T168" s="6"/>
      <c r="U168" s="6"/>
      <c r="V168" s="6"/>
      <c r="W168" s="6"/>
      <c r="X168" s="6"/>
    </row>
    <row r="169">
      <c r="A169" s="1" t="str">
        <f>IFERROR(__xludf.DUMMYFUNCTION("""COMPUTED_VALUE"""),"2502-393")</f>
        <v>2502-393</v>
      </c>
      <c r="B169" s="1" t="str">
        <f>IFERROR(__xludf.DUMMYFUNCTION("""COMPUTED_VALUE"""),"Kline-Altadena-ADU-Permitting")</f>
        <v>Kline-Altadena-ADU-Permitting</v>
      </c>
      <c r="C169" s="1" t="str">
        <f>IFERROR(__xludf.DUMMYFUNCTION("""COMPUTED_VALUE"""),"A008 Submitted - Waiting on Others")</f>
        <v>A008 Submitted - Waiting on Others</v>
      </c>
      <c r="D169" s="4">
        <f>IFERROR(__xludf.DUMMYFUNCTION("""COMPUTED_VALUE"""),1024763.0)</f>
        <v>1024763</v>
      </c>
      <c r="E169" s="5" t="s">
        <v>20</v>
      </c>
      <c r="J169" s="2" t="s">
        <v>40</v>
      </c>
      <c r="K169" s="2" t="s">
        <v>32</v>
      </c>
      <c r="L169" s="2" t="s">
        <v>22</v>
      </c>
      <c r="M169" s="5" t="s">
        <v>48</v>
      </c>
      <c r="N169" s="5" t="s">
        <v>37</v>
      </c>
      <c r="O169" s="5" t="s">
        <v>37</v>
      </c>
      <c r="S169" s="6"/>
      <c r="T169" s="6"/>
      <c r="U169" s="6"/>
      <c r="V169" s="6"/>
      <c r="W169" s="6"/>
      <c r="X169" s="6"/>
    </row>
    <row r="170">
      <c r="A170" s="1" t="str">
        <f>IFERROR(__xludf.DUMMYFUNCTION("""COMPUTED_VALUE"""),"2502-392")</f>
        <v>2502-392</v>
      </c>
      <c r="B170" s="1" t="str">
        <f>IFERROR(__xludf.DUMMYFUNCTION("""COMPUTED_VALUE"""),"Hayz-Camarillo-Floor Plans")</f>
        <v>Hayz-Camarillo-Floor Plans</v>
      </c>
      <c r="C170" s="1" t="str">
        <f>IFERROR(__xludf.DUMMYFUNCTION("""COMPUTED_VALUE"""),"Approved - Construction Phase")</f>
        <v>Approved - Construction Phase</v>
      </c>
      <c r="D170" s="4">
        <f>IFERROR(__xludf.DUMMYFUNCTION("""COMPUTED_VALUE"""),1024735.0)</f>
        <v>1024735</v>
      </c>
      <c r="E170" s="5" t="s">
        <v>34</v>
      </c>
      <c r="J170" s="2" t="s">
        <v>33</v>
      </c>
      <c r="K170" s="2" t="s">
        <v>22</v>
      </c>
      <c r="L170" s="2" t="s">
        <v>50</v>
      </c>
      <c r="M170" s="5" t="s">
        <v>27</v>
      </c>
      <c r="N170" s="5" t="s">
        <v>24</v>
      </c>
      <c r="O170" s="5" t="s">
        <v>48</v>
      </c>
      <c r="S170" s="6"/>
      <c r="T170" s="6"/>
      <c r="U170" s="6"/>
      <c r="V170" s="6"/>
      <c r="W170" s="6"/>
      <c r="X170" s="6"/>
    </row>
    <row r="171">
      <c r="A171" s="1" t="str">
        <f>IFERROR(__xludf.DUMMYFUNCTION("""COMPUTED_VALUE"""),"2502-391")</f>
        <v>2502-391</v>
      </c>
      <c r="B171" s="1" t="str">
        <f>IFERROR(__xludf.DUMMYFUNCTION("""COMPUTED_VALUE"""),"Quiroz-Apple Valley-Site Plan")</f>
        <v>Quiroz-Apple Valley-Site Plan</v>
      </c>
      <c r="C171" s="1" t="str">
        <f>IFERROR(__xludf.DUMMYFUNCTION("""COMPUTED_VALUE"""),"Abandoned,Expired")</f>
        <v>Abandoned,Expired</v>
      </c>
      <c r="D171" s="4">
        <f>IFERROR(__xludf.DUMMYFUNCTION("""COMPUTED_VALUE"""),1024547.0)</f>
        <v>1024547</v>
      </c>
      <c r="E171" s="5" t="s">
        <v>20</v>
      </c>
      <c r="J171" s="2" t="s">
        <v>47</v>
      </c>
      <c r="K171" s="2" t="s">
        <v>47</v>
      </c>
      <c r="L171" s="2" t="s">
        <v>51</v>
      </c>
      <c r="M171" s="5" t="s">
        <v>48</v>
      </c>
      <c r="N171" s="5" t="s">
        <v>37</v>
      </c>
      <c r="O171" s="5" t="s">
        <v>48</v>
      </c>
      <c r="S171" s="6"/>
      <c r="T171" s="6"/>
      <c r="U171" s="6"/>
      <c r="V171" s="6"/>
      <c r="W171" s="6"/>
      <c r="X171" s="6"/>
    </row>
    <row r="172">
      <c r="A172" s="1" t="str">
        <f>IFERROR(__xludf.DUMMYFUNCTION("""COMPUTED_VALUE"""),"2502-390")</f>
        <v>2502-390</v>
      </c>
      <c r="B172" s="1" t="str">
        <f>IFERROR(__xludf.DUMMYFUNCTION("""COMPUTED_VALUE"""),"Winkler-Dana Point-Engineer of Record")</f>
        <v>Winkler-Dana Point-Engineer of Record</v>
      </c>
      <c r="C172" s="1" t="str">
        <f>IFERROR(__xludf.DUMMYFUNCTION("""COMPUTED_VALUE"""),"Completed - Sent to Client")</f>
        <v>Completed - Sent to Client</v>
      </c>
      <c r="D172" s="4">
        <f>IFERROR(__xludf.DUMMYFUNCTION("""COMPUTED_VALUE"""),1025094.0)</f>
        <v>1025094</v>
      </c>
      <c r="E172" s="5" t="s">
        <v>34</v>
      </c>
      <c r="J172" s="2" t="s">
        <v>42</v>
      </c>
      <c r="K172" s="2" t="s">
        <v>33</v>
      </c>
      <c r="L172" s="2" t="s">
        <v>22</v>
      </c>
      <c r="M172" s="5" t="s">
        <v>27</v>
      </c>
      <c r="N172" s="5" t="s">
        <v>48</v>
      </c>
      <c r="O172" s="5" t="s">
        <v>37</v>
      </c>
      <c r="S172" s="6"/>
      <c r="T172" s="6"/>
      <c r="U172" s="6"/>
      <c r="V172" s="6"/>
      <c r="W172" s="6"/>
      <c r="X172" s="6"/>
    </row>
    <row r="173">
      <c r="A173" s="1" t="str">
        <f>IFERROR(__xludf.DUMMYFUNCTION("""COMPUTED_VALUE"""),"2502-389")</f>
        <v>2502-389</v>
      </c>
      <c r="B173" s="1" t="str">
        <f>IFERROR(__xludf.DUMMYFUNCTION("""COMPUTED_VALUE"""),"Frady-Laguna Hills-ADU")</f>
        <v>Frady-Laguna Hills-ADU</v>
      </c>
      <c r="C173" s="1" t="str">
        <f>IFERROR(__xludf.DUMMYFUNCTION("""COMPUTED_VALUE"""),"Approved - Construction Phase")</f>
        <v>Approved - Construction Phase</v>
      </c>
      <c r="D173" s="4">
        <f>IFERROR(__xludf.DUMMYFUNCTION("""COMPUTED_VALUE"""),1020314.0)</f>
        <v>1020314</v>
      </c>
      <c r="E173" s="5" t="s">
        <v>34</v>
      </c>
      <c r="J173" s="2" t="s">
        <v>23</v>
      </c>
      <c r="K173" s="2" t="s">
        <v>47</v>
      </c>
      <c r="L173" s="2" t="s">
        <v>35</v>
      </c>
      <c r="M173" s="5" t="s">
        <v>44</v>
      </c>
      <c r="N173" s="5" t="s">
        <v>44</v>
      </c>
      <c r="O173" s="5" t="s">
        <v>48</v>
      </c>
      <c r="S173" s="6"/>
      <c r="T173" s="6"/>
      <c r="U173" s="6"/>
      <c r="V173" s="6"/>
      <c r="W173" s="6"/>
      <c r="X173" s="6"/>
    </row>
    <row r="174">
      <c r="A174" s="1" t="str">
        <f>IFERROR(__xludf.DUMMYFUNCTION("""COMPUTED_VALUE"""),"2502-388")</f>
        <v>2502-388</v>
      </c>
      <c r="B174" s="1" t="str">
        <f>IFERROR(__xludf.DUMMYFUNCTION("""COMPUTED_VALUE"""),"PDS-Sherman Oaks-Commercial Site Plan")</f>
        <v>PDS-Sherman Oaks-Commercial Site Plan</v>
      </c>
      <c r="C174" s="1" t="str">
        <f>IFERROR(__xludf.DUMMYFUNCTION("""COMPUTED_VALUE"""),"Approved - Construction Phase")</f>
        <v>Approved - Construction Phase</v>
      </c>
      <c r="D174" s="4">
        <f>IFERROR(__xludf.DUMMYFUNCTION("""COMPUTED_VALUE"""),1020294.0)</f>
        <v>1020294</v>
      </c>
      <c r="E174" s="5" t="s">
        <v>34</v>
      </c>
      <c r="J174" s="2" t="s">
        <v>50</v>
      </c>
      <c r="K174" s="2" t="s">
        <v>50</v>
      </c>
      <c r="L174" s="2" t="s">
        <v>43</v>
      </c>
      <c r="M174" s="5" t="s">
        <v>37</v>
      </c>
      <c r="N174" s="5" t="s">
        <v>48</v>
      </c>
      <c r="O174" s="5" t="s">
        <v>44</v>
      </c>
      <c r="S174" s="6"/>
      <c r="T174" s="6"/>
      <c r="U174" s="6"/>
      <c r="V174" s="6"/>
      <c r="W174" s="6"/>
      <c r="X174" s="6"/>
    </row>
    <row r="175">
      <c r="A175" s="1" t="str">
        <f>IFERROR(__xludf.DUMMYFUNCTION("""COMPUTED_VALUE"""),"2502-387")</f>
        <v>2502-387</v>
      </c>
      <c r="B175" s="1" t="str">
        <f>IFERROR(__xludf.DUMMYFUNCTION("""COMPUTED_VALUE"""),"Reeves-Red Rouge-Corona TI's")</f>
        <v>Reeves-Red Rouge-Corona TI's</v>
      </c>
      <c r="C175" s="1" t="str">
        <f>IFERROR(__xludf.DUMMYFUNCTION("""COMPUTED_VALUE"""),"A008.2 Architectural Comment Responses")</f>
        <v>A008.2 Architectural Comment Responses</v>
      </c>
      <c r="D175" s="4">
        <f>IFERROR(__xludf.DUMMYFUNCTION("""COMPUTED_VALUE"""),1020273.0)</f>
        <v>1020273</v>
      </c>
      <c r="E175" s="5" t="s">
        <v>34</v>
      </c>
      <c r="J175" s="2" t="s">
        <v>25</v>
      </c>
      <c r="K175" s="2" t="s">
        <v>47</v>
      </c>
      <c r="L175" s="2" t="s">
        <v>40</v>
      </c>
      <c r="M175" s="5" t="s">
        <v>48</v>
      </c>
      <c r="N175" s="5" t="s">
        <v>24</v>
      </c>
      <c r="O175" s="5" t="s">
        <v>27</v>
      </c>
      <c r="S175" s="6"/>
      <c r="T175" s="6"/>
      <c r="U175" s="6"/>
      <c r="V175" s="6"/>
      <c r="W175" s="6"/>
      <c r="X175" s="6"/>
    </row>
    <row r="176">
      <c r="A176" s="1" t="str">
        <f>IFERROR(__xludf.DUMMYFUNCTION("""COMPUTED_VALUE"""),"2502-386")</f>
        <v>2502-386</v>
      </c>
      <c r="B176" s="1" t="str">
        <f>IFERROR(__xludf.DUMMYFUNCTION("""COMPUTED_VALUE"""),"Hoff-RSM-Remodel and Addition")</f>
        <v>Hoff-RSM-Remodel and Addition</v>
      </c>
      <c r="C176" s="1" t="str">
        <f>IFERROR(__xludf.DUMMYFUNCTION("""COMPUTED_VALUE"""),"Approved - Construction Phase")</f>
        <v>Approved - Construction Phase</v>
      </c>
      <c r="D176" s="4">
        <f>IFERROR(__xludf.DUMMYFUNCTION("""COMPUTED_VALUE"""),1020019.0)</f>
        <v>1020019</v>
      </c>
      <c r="E176" s="5" t="s">
        <v>20</v>
      </c>
      <c r="J176" s="2" t="s">
        <v>43</v>
      </c>
      <c r="K176" s="2" t="s">
        <v>36</v>
      </c>
      <c r="L176" s="2" t="s">
        <v>23</v>
      </c>
      <c r="M176" s="5" t="s">
        <v>24</v>
      </c>
      <c r="N176" s="5" t="s">
        <v>24</v>
      </c>
      <c r="O176" s="5" t="s">
        <v>27</v>
      </c>
      <c r="S176" s="6"/>
      <c r="T176" s="6"/>
      <c r="U176" s="6"/>
      <c r="V176" s="6"/>
      <c r="W176" s="6"/>
      <c r="X176" s="6"/>
    </row>
    <row r="177">
      <c r="A177" s="1" t="str">
        <f>IFERROR(__xludf.DUMMYFUNCTION("""COMPUTED_VALUE"""),"2502-383")</f>
        <v>2502-383</v>
      </c>
      <c r="B177" s="1" t="str">
        <f>IFERROR(__xludf.DUMMYFUNCTION("""COMPUTED_VALUE"""),"Rouei-Pine Mtn-New SFR")</f>
        <v>Rouei-Pine Mtn-New SFR</v>
      </c>
      <c r="C177" s="1" t="str">
        <f>IFERROR(__xludf.DUMMYFUNCTION("""COMPUTED_VALUE"""),"Abandoned,Expired")</f>
        <v>Abandoned,Expired</v>
      </c>
      <c r="D177" s="4">
        <f>IFERROR(__xludf.DUMMYFUNCTION("""COMPUTED_VALUE"""),1012709.0)</f>
        <v>1012709</v>
      </c>
      <c r="E177" s="5" t="s">
        <v>34</v>
      </c>
      <c r="F177" s="2"/>
      <c r="J177" s="2" t="s">
        <v>35</v>
      </c>
      <c r="K177" s="2" t="s">
        <v>35</v>
      </c>
      <c r="L177" s="2" t="s">
        <v>25</v>
      </c>
      <c r="M177" s="5" t="s">
        <v>37</v>
      </c>
      <c r="N177" s="5" t="s">
        <v>27</v>
      </c>
      <c r="O177" s="5" t="s">
        <v>27</v>
      </c>
      <c r="S177" s="3">
        <v>46006.07042128472</v>
      </c>
      <c r="T177" s="6"/>
      <c r="U177" s="6"/>
      <c r="V177" s="3">
        <v>46005.54097949074</v>
      </c>
      <c r="W177" s="3">
        <v>46005.540968622685</v>
      </c>
      <c r="X177" s="6"/>
    </row>
    <row r="178">
      <c r="A178" s="1" t="str">
        <f>IFERROR(__xludf.DUMMYFUNCTION("""COMPUTED_VALUE"""),"2501-385")</f>
        <v>2501-385</v>
      </c>
      <c r="B178" s="1" t="str">
        <f>IFERROR(__xludf.DUMMYFUNCTION("""COMPUTED_VALUE"""),"Dewitt-Altadena-Alameda-SFR-Rebuild")</f>
        <v>Dewitt-Altadena-Alameda-SFR-Rebuild</v>
      </c>
      <c r="C178" s="1" t="str">
        <f>IFERROR(__xludf.DUMMYFUNCTION("""COMPUTED_VALUE"""),"A008.5 Structural Engineering Corrections")</f>
        <v>A008.5 Structural Engineering Corrections</v>
      </c>
      <c r="D178" s="4">
        <f>IFERROR(__xludf.DUMMYFUNCTION("""COMPUTED_VALUE"""),1017768.0)</f>
        <v>1017768</v>
      </c>
      <c r="E178" s="5" t="s">
        <v>20</v>
      </c>
      <c r="J178" s="2" t="s">
        <v>50</v>
      </c>
      <c r="K178" s="2" t="s">
        <v>32</v>
      </c>
      <c r="L178" s="2" t="s">
        <v>36</v>
      </c>
      <c r="M178" s="5" t="s">
        <v>37</v>
      </c>
      <c r="N178" s="5" t="s">
        <v>27</v>
      </c>
      <c r="O178" s="5" t="s">
        <v>27</v>
      </c>
      <c r="S178" s="6"/>
      <c r="T178" s="6"/>
      <c r="U178" s="6"/>
      <c r="V178" s="6"/>
      <c r="W178" s="6"/>
      <c r="X178" s="6"/>
    </row>
    <row r="179">
      <c r="A179" s="1" t="str">
        <f>IFERROR(__xludf.DUMMYFUNCTION("""COMPUTED_VALUE"""),"2501-384")</f>
        <v>2501-384</v>
      </c>
      <c r="B179" s="1" t="str">
        <f>IFERROR(__xludf.DUMMYFUNCTION("""COMPUTED_VALUE"""),"Dewitt-Altadena-Rubio-SFR-Rebuild")</f>
        <v>Dewitt-Altadena-Rubio-SFR-Rebuild</v>
      </c>
      <c r="C179" s="1" t="str">
        <f>IFERROR(__xludf.DUMMYFUNCTION("""COMPUTED_VALUE"""),"A008.2 Architectural Comment Responses")</f>
        <v>A008.2 Architectural Comment Responses</v>
      </c>
      <c r="D179" s="4">
        <f>IFERROR(__xludf.DUMMYFUNCTION("""COMPUTED_VALUE"""),1017812.0)</f>
        <v>1017812</v>
      </c>
      <c r="E179" s="5" t="s">
        <v>20</v>
      </c>
      <c r="J179" s="2" t="s">
        <v>50</v>
      </c>
      <c r="K179" s="2" t="s">
        <v>36</v>
      </c>
      <c r="L179" s="2" t="s">
        <v>33</v>
      </c>
      <c r="M179" s="5" t="s">
        <v>44</v>
      </c>
      <c r="N179" s="5" t="s">
        <v>48</v>
      </c>
      <c r="O179" s="5" t="s">
        <v>27</v>
      </c>
      <c r="S179" s="6"/>
      <c r="T179" s="6"/>
      <c r="U179" s="6"/>
      <c r="V179" s="6"/>
      <c r="W179" s="6"/>
      <c r="X179" s="6"/>
    </row>
    <row r="180">
      <c r="A180" s="1" t="str">
        <f>IFERROR(__xludf.DUMMYFUNCTION("""COMPUTED_VALUE"""),"2501-382")</f>
        <v>2501-382</v>
      </c>
      <c r="B180" s="1" t="str">
        <f>IFERROR(__xludf.DUMMYFUNCTION("""COMPUTED_VALUE"""),"Sharpe Altadena Fire Rebuild")</f>
        <v>Sharpe Altadena Fire Rebuild</v>
      </c>
      <c r="C180" s="1" t="str">
        <f>IFERROR(__xludf.DUMMYFUNCTION("""COMPUTED_VALUE"""),"A009 Resubmitted")</f>
        <v>A009 Resubmitted</v>
      </c>
      <c r="D180" s="4">
        <f>IFERROR(__xludf.DUMMYFUNCTION("""COMPUTED_VALUE"""),1010275.0)</f>
        <v>1010275</v>
      </c>
      <c r="E180" s="5" t="s">
        <v>34</v>
      </c>
      <c r="J180" s="2" t="s">
        <v>50</v>
      </c>
      <c r="K180" s="2" t="s">
        <v>32</v>
      </c>
      <c r="L180" s="2" t="s">
        <v>49</v>
      </c>
      <c r="M180" s="5" t="s">
        <v>37</v>
      </c>
      <c r="N180" s="5" t="s">
        <v>24</v>
      </c>
      <c r="O180" s="5" t="s">
        <v>37</v>
      </c>
      <c r="S180" s="6"/>
      <c r="T180" s="6"/>
      <c r="U180" s="6"/>
      <c r="V180" s="6"/>
      <c r="W180" s="3">
        <v>46006.070188564816</v>
      </c>
      <c r="X180" s="6"/>
    </row>
    <row r="181">
      <c r="A181" s="1" t="str">
        <f>IFERROR(__xludf.DUMMYFUNCTION("""COMPUTED_VALUE"""),"2501-381")</f>
        <v>2501-381</v>
      </c>
      <c r="B181" s="1" t="str">
        <f>IFERROR(__xludf.DUMMYFUNCTION("""COMPUTED_VALUE"""),"Nolen-Eugene-Altadena-SFR Rebuild")</f>
        <v>Nolen-Eugene-Altadena-SFR Rebuild</v>
      </c>
      <c r="C181" s="1" t="str">
        <f>IFERROR(__xludf.DUMMYFUNCTION("""COMPUTED_VALUE"""),"A009 Resubmitted")</f>
        <v>A009 Resubmitted</v>
      </c>
      <c r="D181" s="4">
        <f>IFERROR(__xludf.DUMMYFUNCTION("""COMPUTED_VALUE"""),1009421.0)</f>
        <v>1009421</v>
      </c>
      <c r="E181" s="5" t="s">
        <v>20</v>
      </c>
      <c r="J181" s="2" t="s">
        <v>26</v>
      </c>
      <c r="K181" s="2" t="s">
        <v>42</v>
      </c>
      <c r="L181" s="2" t="s">
        <v>43</v>
      </c>
      <c r="M181" s="5" t="s">
        <v>37</v>
      </c>
      <c r="N181" s="5" t="s">
        <v>24</v>
      </c>
      <c r="O181" s="5" t="s">
        <v>37</v>
      </c>
      <c r="S181" s="6"/>
      <c r="T181" s="6"/>
      <c r="U181" s="6"/>
      <c r="V181" s="6"/>
      <c r="W181" s="6"/>
      <c r="X181" s="6"/>
    </row>
    <row r="182">
      <c r="A182" s="1" t="str">
        <f>IFERROR(__xludf.DUMMYFUNCTION("""COMPUTED_VALUE"""),"2501-380")</f>
        <v>2501-380</v>
      </c>
      <c r="B182" s="1" t="str">
        <f>IFERROR(__xludf.DUMMYFUNCTION("""COMPUTED_VALUE"""),"Sturges-San Diego-Deck Permitting Plans")</f>
        <v>Sturges-San Diego-Deck Permitting Plans</v>
      </c>
      <c r="C182" s="1" t="str">
        <f>IFERROR(__xludf.DUMMYFUNCTION("""COMPUTED_VALUE"""),"Approved - Construction Phase")</f>
        <v>Approved - Construction Phase</v>
      </c>
      <c r="D182" s="4">
        <f>IFERROR(__xludf.DUMMYFUNCTION("""COMPUTED_VALUE"""),1009407.0)</f>
        <v>1009407</v>
      </c>
      <c r="E182" s="5" t="s">
        <v>20</v>
      </c>
      <c r="J182" s="2" t="s">
        <v>22</v>
      </c>
      <c r="K182" s="2" t="s">
        <v>47</v>
      </c>
      <c r="L182" s="2" t="s">
        <v>43</v>
      </c>
      <c r="M182" s="2" t="s">
        <v>44</v>
      </c>
      <c r="N182" s="5" t="s">
        <v>37</v>
      </c>
      <c r="O182" s="5" t="s">
        <v>44</v>
      </c>
      <c r="S182" s="3">
        <v>46006.390835150465</v>
      </c>
      <c r="T182" s="6"/>
      <c r="U182" s="6"/>
      <c r="V182" s="6"/>
      <c r="W182" s="6"/>
      <c r="X182" s="6"/>
    </row>
    <row r="183">
      <c r="A183" s="1" t="str">
        <f>IFERROR(__xludf.DUMMYFUNCTION("""COMPUTED_VALUE"""),"2501-379")</f>
        <v>2501-379</v>
      </c>
      <c r="B183" s="1" t="str">
        <f>IFERROR(__xludf.DUMMYFUNCTION("""COMPUTED_VALUE"""),"PDS-Dagher-Altadena-SFR Rebuild")</f>
        <v>PDS-Dagher-Altadena-SFR Rebuild</v>
      </c>
      <c r="C183" s="1" t="str">
        <f>IFERROR(__xludf.DUMMYFUNCTION("""COMPUTED_VALUE"""),"A008.5 Structural Engineering Corrections")</f>
        <v>A008.5 Structural Engineering Corrections</v>
      </c>
      <c r="D183" s="4">
        <f>IFERROR(__xludf.DUMMYFUNCTION("""COMPUTED_VALUE"""),1009400.0)</f>
        <v>1009400</v>
      </c>
      <c r="E183" s="5" t="s">
        <v>34</v>
      </c>
      <c r="J183" s="2" t="s">
        <v>32</v>
      </c>
      <c r="K183" s="2" t="s">
        <v>50</v>
      </c>
      <c r="L183" s="2" t="s">
        <v>36</v>
      </c>
      <c r="M183" s="5" t="s">
        <v>48</v>
      </c>
      <c r="N183" s="5" t="s">
        <v>48</v>
      </c>
      <c r="O183" s="5" t="s">
        <v>24</v>
      </c>
      <c r="S183" s="6"/>
      <c r="T183" s="6"/>
      <c r="U183" s="6"/>
      <c r="V183" s="6"/>
      <c r="W183" s="6"/>
      <c r="X183" s="6"/>
    </row>
    <row r="184">
      <c r="A184" s="1" t="str">
        <f>IFERROR(__xludf.DUMMYFUNCTION("""COMPUTED_VALUE"""),"2501-378")</f>
        <v>2501-378</v>
      </c>
      <c r="B184" s="1" t="str">
        <f>IFERROR(__xludf.DUMMYFUNCTION("""COMPUTED_VALUE"""),"Tourtellotte-LA-FROG")</f>
        <v>Tourtellotte-LA-FROG</v>
      </c>
      <c r="C184" s="1" t="str">
        <f>IFERROR(__xludf.DUMMYFUNCTION("""COMPUTED_VALUE"""),"Approved - Construction Phase")</f>
        <v>Approved - Construction Phase</v>
      </c>
      <c r="D184" s="4">
        <f>IFERROR(__xludf.DUMMYFUNCTION("""COMPUTED_VALUE"""),1008137.0)</f>
        <v>1008137</v>
      </c>
      <c r="E184" s="5" t="s">
        <v>34</v>
      </c>
      <c r="J184" s="2" t="s">
        <v>36</v>
      </c>
      <c r="K184" s="2" t="s">
        <v>25</v>
      </c>
      <c r="L184" s="2" t="s">
        <v>32</v>
      </c>
      <c r="M184" s="5" t="s">
        <v>44</v>
      </c>
      <c r="N184" s="5" t="s">
        <v>44</v>
      </c>
      <c r="O184" s="5" t="s">
        <v>27</v>
      </c>
      <c r="S184" s="6"/>
      <c r="T184" s="6"/>
      <c r="U184" s="6"/>
      <c r="V184" s="6"/>
      <c r="W184" s="6"/>
      <c r="X184" s="6"/>
    </row>
    <row r="185">
      <c r="A185" s="1" t="str">
        <f>IFERROR(__xludf.DUMMYFUNCTION("""COMPUTED_VALUE"""),"2501-377")</f>
        <v>2501-377</v>
      </c>
      <c r="B185" s="1" t="str">
        <f>IFERROR(__xludf.DUMMYFUNCTION("""COMPUTED_VALUE"""),"PDS-Thomas-Altadena-SFR Rebuild")</f>
        <v>PDS-Thomas-Altadena-SFR Rebuild</v>
      </c>
      <c r="C185" s="1" t="str">
        <f>IFERROR(__xludf.DUMMYFUNCTION("""COMPUTED_VALUE"""),"Approved - Construction Phase")</f>
        <v>Approved - Construction Phase</v>
      </c>
      <c r="D185" s="4">
        <f>IFERROR(__xludf.DUMMYFUNCTION("""COMPUTED_VALUE"""),1006952.0)</f>
        <v>1006952</v>
      </c>
      <c r="E185" s="5" t="s">
        <v>34</v>
      </c>
      <c r="J185" s="2" t="s">
        <v>43</v>
      </c>
      <c r="K185" s="2" t="s">
        <v>22</v>
      </c>
      <c r="L185" s="2" t="s">
        <v>42</v>
      </c>
      <c r="M185" s="5" t="s">
        <v>37</v>
      </c>
      <c r="N185" s="2" t="s">
        <v>37</v>
      </c>
      <c r="O185" s="5" t="s">
        <v>24</v>
      </c>
      <c r="S185" s="6"/>
      <c r="T185" s="3">
        <v>46006.390657615746</v>
      </c>
      <c r="U185" s="6"/>
      <c r="V185" s="6"/>
      <c r="W185" s="6"/>
      <c r="X185" s="6"/>
    </row>
    <row r="186">
      <c r="A186" s="1" t="str">
        <f>IFERROR(__xludf.DUMMYFUNCTION("""COMPUTED_VALUE"""),"2501-376")</f>
        <v>2501-376</v>
      </c>
      <c r="B186" s="1" t="str">
        <f>IFERROR(__xludf.DUMMYFUNCTION("""COMPUTED_VALUE"""),"White-Santa Barbara-Garage ADU")</f>
        <v>White-Santa Barbara-Garage ADU</v>
      </c>
      <c r="C186" s="1" t="str">
        <f>IFERROR(__xludf.DUMMYFUNCTION("""COMPUTED_VALUE"""),"Approved - Construction Phase")</f>
        <v>Approved - Construction Phase</v>
      </c>
      <c r="D186" s="4">
        <f>IFERROR(__xludf.DUMMYFUNCTION("""COMPUTED_VALUE"""),1008160.0)</f>
        <v>1008160</v>
      </c>
      <c r="E186" s="5" t="s">
        <v>20</v>
      </c>
      <c r="J186" s="2" t="s">
        <v>47</v>
      </c>
      <c r="K186" s="2" t="s">
        <v>40</v>
      </c>
      <c r="L186" s="2" t="s">
        <v>26</v>
      </c>
      <c r="M186" s="5" t="s">
        <v>24</v>
      </c>
      <c r="N186" s="5" t="s">
        <v>48</v>
      </c>
      <c r="O186" s="5" t="s">
        <v>44</v>
      </c>
      <c r="S186" s="6"/>
      <c r="T186" s="6"/>
      <c r="U186" s="6"/>
      <c r="V186" s="6"/>
      <c r="W186" s="6"/>
      <c r="X186" s="6"/>
    </row>
    <row r="187">
      <c r="A187" s="1" t="str">
        <f>IFERROR(__xludf.DUMMYFUNCTION("""COMPUTED_VALUE"""),"2501-375")</f>
        <v>2501-375</v>
      </c>
      <c r="B187" s="1" t="str">
        <f>IFERROR(__xludf.DUMMYFUNCTION("""COMPUTED_VALUE"""),"Munoz-Santa-Ana-Garage-ADU")</f>
        <v>Munoz-Santa-Ana-Garage-ADU</v>
      </c>
      <c r="C187" s="1" t="str">
        <f>IFERROR(__xludf.DUMMYFUNCTION("""COMPUTED_VALUE"""),"A008 Submitted - Waiting on Others")</f>
        <v>A008 Submitted - Waiting on Others</v>
      </c>
      <c r="D187" s="4">
        <f>IFERROR(__xludf.DUMMYFUNCTION("""COMPUTED_VALUE"""),1005624.0)</f>
        <v>1005624</v>
      </c>
      <c r="E187" s="5" t="s">
        <v>34</v>
      </c>
      <c r="J187" s="2" t="s">
        <v>33</v>
      </c>
      <c r="K187" s="2" t="s">
        <v>40</v>
      </c>
      <c r="L187" s="2" t="s">
        <v>47</v>
      </c>
      <c r="M187" s="5" t="s">
        <v>27</v>
      </c>
      <c r="N187" s="5" t="s">
        <v>44</v>
      </c>
      <c r="O187" s="5" t="s">
        <v>37</v>
      </c>
      <c r="S187" s="6"/>
      <c r="T187" s="6"/>
      <c r="U187" s="6"/>
      <c r="V187" s="6"/>
      <c r="W187" s="6"/>
      <c r="X187" s="6"/>
    </row>
    <row r="188">
      <c r="A188" s="1" t="str">
        <f>IFERROR(__xludf.DUMMYFUNCTION("""COMPUTED_VALUE"""),"2501-374")</f>
        <v>2501-374</v>
      </c>
      <c r="B188" s="1" t="str">
        <f>IFERROR(__xludf.DUMMYFUNCTION("""COMPUTED_VALUE"""),"Zacharias-Redondo-SFH-ADU-Remodel")</f>
        <v>Zacharias-Redondo-SFH-ADU-Remodel</v>
      </c>
      <c r="C188" s="1" t="str">
        <f>IFERROR(__xludf.DUMMYFUNCTION("""COMPUTED_VALUE"""),"A008.8 Pending Resubmittal")</f>
        <v>A008.8 Pending Resubmittal</v>
      </c>
      <c r="D188" s="4">
        <f>IFERROR(__xludf.DUMMYFUNCTION("""COMPUTED_VALUE"""),1005612.0)</f>
        <v>1005612</v>
      </c>
      <c r="E188" s="5" t="s">
        <v>34</v>
      </c>
      <c r="J188" s="2" t="s">
        <v>32</v>
      </c>
      <c r="K188" s="2" t="s">
        <v>49</v>
      </c>
      <c r="L188" s="2" t="s">
        <v>51</v>
      </c>
      <c r="M188" s="5" t="s">
        <v>27</v>
      </c>
      <c r="N188" s="5" t="s">
        <v>48</v>
      </c>
      <c r="O188" s="5" t="s">
        <v>48</v>
      </c>
      <c r="S188" s="6"/>
      <c r="T188" s="6"/>
      <c r="U188" s="6"/>
      <c r="V188" s="6"/>
      <c r="W188" s="6"/>
      <c r="X188" s="6"/>
    </row>
    <row r="189">
      <c r="A189" s="1" t="str">
        <f>IFERROR(__xludf.DUMMYFUNCTION("""COMPUTED_VALUE"""),"2501-373")</f>
        <v>2501-373</v>
      </c>
      <c r="B189" s="1" t="str">
        <f>IFERROR(__xludf.DUMMYFUNCTION("""COMPUTED_VALUE"""),"Sadraei-Stallion Springs-New SFR")</f>
        <v>Sadraei-Stallion Springs-New SFR</v>
      </c>
      <c r="C189" s="1" t="str">
        <f>IFERROR(__xludf.DUMMYFUNCTION("""COMPUTED_VALUE"""),"A008 Submitted - Waiting on Others")</f>
        <v>A008 Submitted - Waiting on Others</v>
      </c>
      <c r="D189" s="4">
        <f>IFERROR(__xludf.DUMMYFUNCTION("""COMPUTED_VALUE"""),1009189.0)</f>
        <v>1009189</v>
      </c>
      <c r="E189" s="5" t="s">
        <v>20</v>
      </c>
      <c r="J189" s="2" t="s">
        <v>35</v>
      </c>
      <c r="K189" s="2" t="s">
        <v>50</v>
      </c>
      <c r="L189" s="2" t="s">
        <v>50</v>
      </c>
      <c r="M189" s="5" t="s">
        <v>27</v>
      </c>
      <c r="N189" s="5" t="s">
        <v>37</v>
      </c>
      <c r="O189" s="5" t="s">
        <v>48</v>
      </c>
      <c r="S189" s="6"/>
      <c r="T189" s="6"/>
      <c r="U189" s="6"/>
      <c r="V189" s="6"/>
      <c r="W189" s="6"/>
      <c r="X189" s="6"/>
    </row>
    <row r="190">
      <c r="A190" s="1" t="str">
        <f>IFERROR(__xludf.DUMMYFUNCTION("""COMPUTED_VALUE"""),"2501-371")</f>
        <v>2501-371</v>
      </c>
      <c r="B190" s="1" t="str">
        <f>IFERROR(__xludf.DUMMYFUNCTION("""COMPUTED_VALUE"""),"Schwartz-West Hills-Design")</f>
        <v>Schwartz-West Hills-Design</v>
      </c>
      <c r="C190" s="1" t="str">
        <f>IFERROR(__xludf.DUMMYFUNCTION("""COMPUTED_VALUE"""),"Abandoned,Expired")</f>
        <v>Abandoned,Expired</v>
      </c>
      <c r="D190" s="4">
        <f>IFERROR(__xludf.DUMMYFUNCTION("""COMPUTED_VALUE"""),1008289.0)</f>
        <v>1008289</v>
      </c>
      <c r="E190" s="5" t="s">
        <v>34</v>
      </c>
      <c r="J190" s="2" t="s">
        <v>50</v>
      </c>
      <c r="K190" s="2" t="s">
        <v>43</v>
      </c>
      <c r="L190" s="2" t="s">
        <v>51</v>
      </c>
      <c r="M190" s="5" t="s">
        <v>27</v>
      </c>
      <c r="N190" s="5" t="s">
        <v>24</v>
      </c>
      <c r="O190" s="5" t="s">
        <v>24</v>
      </c>
      <c r="S190" s="6"/>
      <c r="T190" s="6"/>
      <c r="U190" s="6"/>
      <c r="V190" s="6"/>
      <c r="W190" s="6"/>
      <c r="X190" s="6"/>
    </row>
    <row r="191">
      <c r="A191" s="1" t="str">
        <f>IFERROR(__xludf.DUMMYFUNCTION("""COMPUTED_VALUE"""),"2501-370")</f>
        <v>2501-370</v>
      </c>
      <c r="B191" s="1" t="str">
        <f>IFERROR(__xludf.DUMMYFUNCTION("""COMPUTED_VALUE"""),"Snow Forest Inn Big Bear Remodel")</f>
        <v>Snow Forest Inn Big Bear Remodel</v>
      </c>
      <c r="C191" s="1" t="str">
        <f>IFERROR(__xludf.DUMMYFUNCTION("""COMPUTED_VALUE"""),"Completed - Sent to Client")</f>
        <v>Completed - Sent to Client</v>
      </c>
      <c r="D191" s="4">
        <f>IFERROR(__xludf.DUMMYFUNCTION("""COMPUTED_VALUE"""),875517.0)</f>
        <v>875517</v>
      </c>
      <c r="E191" s="5" t="s">
        <v>20</v>
      </c>
      <c r="J191" s="2" t="s">
        <v>35</v>
      </c>
      <c r="K191" s="2" t="s">
        <v>43</v>
      </c>
      <c r="L191" s="2" t="s">
        <v>32</v>
      </c>
      <c r="M191" s="5" t="s">
        <v>37</v>
      </c>
      <c r="N191" s="5" t="s">
        <v>24</v>
      </c>
      <c r="O191" s="5" t="s">
        <v>24</v>
      </c>
      <c r="S191" s="6"/>
      <c r="T191" s="6"/>
      <c r="U191" s="6"/>
      <c r="V191" s="6"/>
      <c r="W191" s="6"/>
      <c r="X191" s="6"/>
    </row>
    <row r="192">
      <c r="A192" s="1" t="str">
        <f>IFERROR(__xludf.DUMMYFUNCTION("""COMPUTED_VALUE"""),"2501-369")</f>
        <v>2501-369</v>
      </c>
      <c r="B192" s="1" t="str">
        <f>IFERROR(__xludf.DUMMYFUNCTION("""COMPUTED_VALUE"""),"Francati-NoHo-SFH-Full-Rehab")</f>
        <v>Francati-NoHo-SFH-Full-Rehab</v>
      </c>
      <c r="C192" s="1" t="str">
        <f>IFERROR(__xludf.DUMMYFUNCTION("""COMPUTED_VALUE"""),"A008.5 Structural Engineering Corrections")</f>
        <v>A008.5 Structural Engineering Corrections</v>
      </c>
      <c r="D192" s="4">
        <f>IFERROR(__xludf.DUMMYFUNCTION("""COMPUTED_VALUE"""),999777.0)</f>
        <v>999777</v>
      </c>
      <c r="E192" s="5" t="s">
        <v>34</v>
      </c>
      <c r="J192" s="2" t="s">
        <v>43</v>
      </c>
      <c r="K192" s="2" t="s">
        <v>25</v>
      </c>
      <c r="L192" s="2" t="s">
        <v>23</v>
      </c>
      <c r="M192" s="5" t="s">
        <v>48</v>
      </c>
      <c r="N192" s="5" t="s">
        <v>48</v>
      </c>
      <c r="O192" s="5" t="s">
        <v>48</v>
      </c>
      <c r="S192" s="6"/>
      <c r="T192" s="6"/>
      <c r="U192" s="6"/>
      <c r="V192" s="6"/>
      <c r="W192" s="6"/>
      <c r="X192" s="6"/>
    </row>
    <row r="193">
      <c r="A193" s="1" t="str">
        <f>IFERROR(__xludf.DUMMYFUNCTION("""COMPUTED_VALUE"""),"2501-368")</f>
        <v>2501-368</v>
      </c>
      <c r="B193" s="1" t="str">
        <f>IFERROR(__xludf.DUMMYFUNCTION("""COMPUTED_VALUE"""),"Strath-Euclid-LA Remodel")</f>
        <v>Strath-Euclid-LA Remodel</v>
      </c>
      <c r="C193" s="1" t="str">
        <f>IFERROR(__xludf.DUMMYFUNCTION("""COMPUTED_VALUE"""),"A007.8 Pending Submittal")</f>
        <v>A007.8 Pending Submittal</v>
      </c>
      <c r="D193" s="4">
        <f>IFERROR(__xludf.DUMMYFUNCTION("""COMPUTED_VALUE"""),996843.0)</f>
        <v>996843</v>
      </c>
      <c r="E193" s="5" t="s">
        <v>34</v>
      </c>
      <c r="J193" s="2" t="s">
        <v>22</v>
      </c>
      <c r="K193" s="2" t="s">
        <v>23</v>
      </c>
      <c r="L193" s="2" t="s">
        <v>47</v>
      </c>
      <c r="M193" s="2" t="s">
        <v>24</v>
      </c>
      <c r="N193" s="5" t="s">
        <v>37</v>
      </c>
      <c r="O193" s="5" t="s">
        <v>27</v>
      </c>
      <c r="S193" s="3">
        <v>46006.39112076389</v>
      </c>
      <c r="T193" s="6"/>
      <c r="U193" s="6"/>
      <c r="V193" s="6"/>
      <c r="W193" s="6"/>
      <c r="X193" s="6"/>
    </row>
    <row r="194">
      <c r="A194" s="1" t="str">
        <f>IFERROR(__xludf.DUMMYFUNCTION("""COMPUTED_VALUE"""),"2501-367")</f>
        <v>2501-367</v>
      </c>
      <c r="B194" s="1" t="str">
        <f>IFERROR(__xludf.DUMMYFUNCTION("""COMPUTED_VALUE"""),"Strath-Palisades-Remodel-Expansion")</f>
        <v>Strath-Palisades-Remodel-Expansion</v>
      </c>
      <c r="C194" s="1" t="str">
        <f>IFERROR(__xludf.DUMMYFUNCTION("""COMPUTED_VALUE"""),"A003.1 Client Review - Waiting on Others")</f>
        <v>A003.1 Client Review - Waiting on Others</v>
      </c>
      <c r="D194" s="4">
        <f>IFERROR(__xludf.DUMMYFUNCTION("""COMPUTED_VALUE"""),995750.0)</f>
        <v>995750</v>
      </c>
      <c r="E194" s="5" t="s">
        <v>34</v>
      </c>
      <c r="J194" s="2" t="s">
        <v>47</v>
      </c>
      <c r="K194" s="2" t="s">
        <v>40</v>
      </c>
      <c r="L194" s="2" t="s">
        <v>32</v>
      </c>
      <c r="M194" s="5" t="s">
        <v>37</v>
      </c>
      <c r="N194" s="5" t="s">
        <v>44</v>
      </c>
      <c r="O194" s="5" t="s">
        <v>44</v>
      </c>
      <c r="S194" s="6"/>
      <c r="T194" s="6"/>
      <c r="U194" s="6"/>
      <c r="V194" s="6"/>
      <c r="W194" s="6"/>
      <c r="X194" s="6"/>
    </row>
    <row r="195">
      <c r="A195" s="1" t="str">
        <f>IFERROR(__xludf.DUMMYFUNCTION("""COMPUTED_VALUE"""),"2501-366")</f>
        <v>2501-366</v>
      </c>
      <c r="B195" s="1" t="str">
        <f>IFERROR(__xludf.DUMMYFUNCTION("""COMPUTED_VALUE"""),"Gallegos-Santa Ana-Detached ADU")</f>
        <v>Gallegos-Santa Ana-Detached ADU</v>
      </c>
      <c r="C195" s="1" t="str">
        <f>IFERROR(__xludf.DUMMYFUNCTION("""COMPUTED_VALUE"""),"A007.8 Pending Submittal")</f>
        <v>A007.8 Pending Submittal</v>
      </c>
      <c r="D195" s="4">
        <f>IFERROR(__xludf.DUMMYFUNCTION("""COMPUTED_VALUE"""),995257.0)</f>
        <v>995257</v>
      </c>
      <c r="E195" s="5" t="s">
        <v>20</v>
      </c>
      <c r="J195" s="2" t="s">
        <v>22</v>
      </c>
      <c r="K195" s="2" t="s">
        <v>51</v>
      </c>
      <c r="L195" s="2" t="s">
        <v>51</v>
      </c>
      <c r="M195" s="5" t="s">
        <v>37</v>
      </c>
      <c r="N195" s="5" t="s">
        <v>48</v>
      </c>
      <c r="O195" s="5" t="s">
        <v>37</v>
      </c>
      <c r="S195" s="6"/>
      <c r="T195" s="6"/>
      <c r="U195" s="6"/>
      <c r="V195" s="6"/>
      <c r="W195" s="6"/>
      <c r="X195" s="6"/>
    </row>
    <row r="196">
      <c r="A196" s="1" t="str">
        <f>IFERROR(__xludf.DUMMYFUNCTION("""COMPUTED_VALUE"""),"2501-365")</f>
        <v>2501-365</v>
      </c>
      <c r="B196" s="1" t="str">
        <f>IFERROR(__xludf.DUMMYFUNCTION("""COMPUTED_VALUE"""),"Gagne-SD-Retaining Wall")</f>
        <v>Gagne-SD-Retaining Wall</v>
      </c>
      <c r="C196" s="1" t="str">
        <f>IFERROR(__xludf.DUMMYFUNCTION("""COMPUTED_VALUE"""),"A009 Resubmitted")</f>
        <v>A009 Resubmitted</v>
      </c>
      <c r="D196" s="4">
        <f>IFERROR(__xludf.DUMMYFUNCTION("""COMPUTED_VALUE"""),995254.0)</f>
        <v>995254</v>
      </c>
      <c r="E196" s="5" t="s">
        <v>20</v>
      </c>
      <c r="J196" s="2" t="s">
        <v>39</v>
      </c>
      <c r="K196" s="2" t="s">
        <v>42</v>
      </c>
      <c r="L196" s="2" t="s">
        <v>42</v>
      </c>
      <c r="M196" s="5" t="s">
        <v>24</v>
      </c>
      <c r="N196" s="5" t="s">
        <v>44</v>
      </c>
      <c r="O196" s="5" t="s">
        <v>44</v>
      </c>
      <c r="S196" s="6"/>
      <c r="T196" s="6"/>
      <c r="U196" s="3">
        <v>46005.19793458333</v>
      </c>
      <c r="V196" s="6"/>
      <c r="W196" s="6"/>
      <c r="X196" s="6"/>
    </row>
    <row r="197">
      <c r="A197" s="1" t="str">
        <f>IFERROR(__xludf.DUMMYFUNCTION("""COMPUTED_VALUE"""),"2501-364")</f>
        <v>2501-364</v>
      </c>
      <c r="B197" s="1" t="str">
        <f>IFERROR(__xludf.DUMMYFUNCTION("""COMPUTED_VALUE"""),"Cole-Riverside-Site Plan")</f>
        <v>Cole-Riverside-Site Plan</v>
      </c>
      <c r="C197" s="1" t="str">
        <f>IFERROR(__xludf.DUMMYFUNCTION("""COMPUTED_VALUE"""),"Completed - Sent to Client")</f>
        <v>Completed - Sent to Client</v>
      </c>
      <c r="D197" s="4">
        <f>IFERROR(__xludf.DUMMYFUNCTION("""COMPUTED_VALUE"""),996818.0)</f>
        <v>996818</v>
      </c>
      <c r="E197" s="5" t="s">
        <v>34</v>
      </c>
      <c r="J197" s="2" t="s">
        <v>43</v>
      </c>
      <c r="K197" s="2" t="s">
        <v>26</v>
      </c>
      <c r="L197" s="2" t="s">
        <v>50</v>
      </c>
      <c r="M197" s="5" t="s">
        <v>27</v>
      </c>
      <c r="N197" s="5" t="s">
        <v>44</v>
      </c>
      <c r="O197" s="5" t="s">
        <v>27</v>
      </c>
      <c r="S197" s="6"/>
      <c r="T197" s="6"/>
      <c r="U197" s="6"/>
      <c r="V197" s="6"/>
      <c r="W197" s="6"/>
      <c r="X197" s="6"/>
    </row>
    <row r="198">
      <c r="A198" s="1" t="str">
        <f>IFERROR(__xludf.DUMMYFUNCTION("""COMPUTED_VALUE"""),"2412-363")</f>
        <v>2412-363</v>
      </c>
      <c r="B198" s="1" t="str">
        <f>IFERROR(__xludf.DUMMYFUNCTION("""COMPUTED_VALUE"""),"Buckner - Gardena - Floor Plan")</f>
        <v>Buckner - Gardena - Floor Plan</v>
      </c>
      <c r="C198" s="1" t="str">
        <f>IFERROR(__xludf.DUMMYFUNCTION("""COMPUTED_VALUE"""),"Approved - Construction Phase")</f>
        <v>Approved - Construction Phase</v>
      </c>
      <c r="D198" s="4">
        <f>IFERROR(__xludf.DUMMYFUNCTION("""COMPUTED_VALUE"""),979105.0)</f>
        <v>979105</v>
      </c>
      <c r="E198" s="5" t="s">
        <v>34</v>
      </c>
      <c r="J198" s="2" t="s">
        <v>26</v>
      </c>
      <c r="K198" s="2" t="s">
        <v>22</v>
      </c>
      <c r="L198" s="2" t="s">
        <v>40</v>
      </c>
      <c r="M198" s="5" t="s">
        <v>48</v>
      </c>
      <c r="N198" s="2" t="s">
        <v>37</v>
      </c>
      <c r="O198" s="5" t="s">
        <v>37</v>
      </c>
      <c r="S198" s="6"/>
      <c r="T198" s="3">
        <v>46006.39047737268</v>
      </c>
      <c r="U198" s="6"/>
      <c r="V198" s="6"/>
      <c r="W198" s="6"/>
      <c r="X198" s="6"/>
    </row>
    <row r="199">
      <c r="A199" s="1" t="str">
        <f>IFERROR(__xludf.DUMMYFUNCTION("""COMPUTED_VALUE"""),"2412-362")</f>
        <v>2412-362</v>
      </c>
      <c r="B199" s="1" t="str">
        <f>IFERROR(__xludf.DUMMYFUNCTION("""COMPUTED_VALUE"""),"Silverthorn - Wildomar - ADU")</f>
        <v>Silverthorn - Wildomar - ADU</v>
      </c>
      <c r="C199" s="1" t="str">
        <f>IFERROR(__xludf.DUMMYFUNCTION("""COMPUTED_VALUE"""),"A008 Submitted - Waiting on Others")</f>
        <v>A008 Submitted - Waiting on Others</v>
      </c>
      <c r="D199" s="4">
        <f>IFERROR(__xludf.DUMMYFUNCTION("""COMPUTED_VALUE"""),974096.0)</f>
        <v>974096</v>
      </c>
      <c r="E199" s="5" t="s">
        <v>34</v>
      </c>
      <c r="J199" s="2" t="s">
        <v>43</v>
      </c>
      <c r="K199" s="2" t="s">
        <v>39</v>
      </c>
      <c r="L199" s="2" t="s">
        <v>50</v>
      </c>
      <c r="M199" s="5" t="s">
        <v>44</v>
      </c>
      <c r="N199" s="5" t="s">
        <v>37</v>
      </c>
      <c r="O199" s="5" t="s">
        <v>44</v>
      </c>
      <c r="S199" s="6"/>
      <c r="T199" s="6"/>
      <c r="U199" s="6"/>
      <c r="V199" s="6"/>
      <c r="W199" s="6"/>
      <c r="X199" s="6"/>
    </row>
    <row r="200">
      <c r="A200" s="1" t="str">
        <f>IFERROR(__xludf.DUMMYFUNCTION("""COMPUTED_VALUE"""),"2412-361")</f>
        <v>2412-361</v>
      </c>
      <c r="B200" s="1" t="str">
        <f>IFERROR(__xludf.DUMMYFUNCTION("""COMPUTED_VALUE"""),"Burns-Huntington-JADU")</f>
        <v>Burns-Huntington-JADU</v>
      </c>
      <c r="C200" s="1" t="str">
        <f>IFERROR(__xludf.DUMMYFUNCTION("""COMPUTED_VALUE"""),"A008.8 Pending Resubmittal")</f>
        <v>A008.8 Pending Resubmittal</v>
      </c>
      <c r="D200" s="4">
        <f>IFERROR(__xludf.DUMMYFUNCTION("""COMPUTED_VALUE"""),973246.0)</f>
        <v>973246</v>
      </c>
      <c r="E200" s="5" t="s">
        <v>34</v>
      </c>
      <c r="J200" s="2" t="s">
        <v>43</v>
      </c>
      <c r="K200" s="2" t="s">
        <v>42</v>
      </c>
      <c r="L200" s="2" t="s">
        <v>22</v>
      </c>
      <c r="M200" s="5" t="s">
        <v>37</v>
      </c>
      <c r="N200" s="5" t="s">
        <v>24</v>
      </c>
      <c r="O200" s="5" t="s">
        <v>27</v>
      </c>
      <c r="S200" s="6"/>
      <c r="T200" s="6"/>
      <c r="U200" s="6"/>
      <c r="V200" s="6"/>
      <c r="W200" s="6"/>
      <c r="X200" s="6"/>
    </row>
    <row r="201">
      <c r="A201" s="1" t="str">
        <f>IFERROR(__xludf.DUMMYFUNCTION("""COMPUTED_VALUE"""),"2412-360")</f>
        <v>2412-360</v>
      </c>
      <c r="B201" s="1" t="str">
        <f>IFERROR(__xludf.DUMMYFUNCTION("""COMPUTED_VALUE"""),"Johnston-SD-ADU")</f>
        <v>Johnston-SD-ADU</v>
      </c>
      <c r="C201" s="1" t="str">
        <f>IFERROR(__xludf.DUMMYFUNCTION("""COMPUTED_VALUE"""),"Approved - Construction Phase")</f>
        <v>Approved - Construction Phase</v>
      </c>
      <c r="D201" s="4">
        <f>IFERROR(__xludf.DUMMYFUNCTION("""COMPUTED_VALUE"""),973248.0)</f>
        <v>973248</v>
      </c>
      <c r="E201" s="5" t="s">
        <v>34</v>
      </c>
      <c r="J201" s="2" t="s">
        <v>23</v>
      </c>
      <c r="K201" s="2" t="s">
        <v>51</v>
      </c>
      <c r="L201" s="2" t="s">
        <v>26</v>
      </c>
      <c r="M201" s="5" t="s">
        <v>48</v>
      </c>
      <c r="N201" s="5" t="s">
        <v>27</v>
      </c>
      <c r="O201" s="5" t="s">
        <v>37</v>
      </c>
      <c r="S201" s="6"/>
      <c r="T201" s="6"/>
      <c r="U201" s="6"/>
      <c r="V201" s="6"/>
      <c r="W201" s="6"/>
      <c r="X201" s="6"/>
    </row>
    <row r="202">
      <c r="A202" s="1" t="str">
        <f>IFERROR(__xludf.DUMMYFUNCTION("""COMPUTED_VALUE"""),"2412-359")</f>
        <v>2412-359</v>
      </c>
      <c r="B202" s="1" t="str">
        <f>IFERROR(__xludf.DUMMYFUNCTION("""COMPUTED_VALUE"""),"Candelaria-Oceanside-Detached-ADU")</f>
        <v>Candelaria-Oceanside-Detached-ADU</v>
      </c>
      <c r="C202" s="1" t="str">
        <f>IFERROR(__xludf.DUMMYFUNCTION("""COMPUTED_VALUE"""),"A008.2 Architectural Comment Responses")</f>
        <v>A008.2 Architectural Comment Responses</v>
      </c>
      <c r="D202" s="4">
        <f>IFERROR(__xludf.DUMMYFUNCTION("""COMPUTED_VALUE"""),973247.0)</f>
        <v>973247</v>
      </c>
      <c r="E202" s="5" t="s">
        <v>20</v>
      </c>
      <c r="J202" s="2" t="s">
        <v>23</v>
      </c>
      <c r="K202" s="2" t="s">
        <v>42</v>
      </c>
      <c r="L202" s="2" t="s">
        <v>26</v>
      </c>
      <c r="M202" s="5" t="s">
        <v>48</v>
      </c>
      <c r="N202" s="5" t="s">
        <v>27</v>
      </c>
      <c r="O202" s="5" t="s">
        <v>48</v>
      </c>
      <c r="S202" s="6"/>
      <c r="T202" s="6"/>
      <c r="U202" s="6"/>
      <c r="V202" s="6"/>
      <c r="W202" s="6"/>
      <c r="X202" s="6"/>
    </row>
    <row r="203">
      <c r="A203" s="1" t="str">
        <f>IFERROR(__xludf.DUMMYFUNCTION("""COMPUTED_VALUE"""),"2412-358")</f>
        <v>2412-358</v>
      </c>
      <c r="B203" s="1" t="str">
        <f>IFERROR(__xludf.DUMMYFUNCTION("""COMPUTED_VALUE"""),"Beacon-Housing-LA-ADU")</f>
        <v>Beacon-Housing-LA-ADU</v>
      </c>
      <c r="C203" s="1" t="str">
        <f>IFERROR(__xludf.DUMMYFUNCTION("""COMPUTED_VALUE"""),"Approved - Construction Phase")</f>
        <v>Approved - Construction Phase</v>
      </c>
      <c r="D203" s="4">
        <f>IFERROR(__xludf.DUMMYFUNCTION("""COMPUTED_VALUE"""),965686.0)</f>
        <v>965686</v>
      </c>
      <c r="E203" s="5" t="s">
        <v>20</v>
      </c>
      <c r="J203" s="2" t="s">
        <v>42</v>
      </c>
      <c r="K203" s="2" t="s">
        <v>39</v>
      </c>
      <c r="L203" s="2" t="s">
        <v>50</v>
      </c>
      <c r="M203" s="5" t="s">
        <v>27</v>
      </c>
      <c r="N203" s="5" t="s">
        <v>44</v>
      </c>
      <c r="O203" s="5" t="s">
        <v>48</v>
      </c>
      <c r="S203" s="6"/>
      <c r="T203" s="6"/>
      <c r="U203" s="6"/>
      <c r="V203" s="6"/>
      <c r="W203" s="6"/>
      <c r="X203" s="6"/>
    </row>
    <row r="204">
      <c r="A204" s="1" t="str">
        <f>IFERROR(__xludf.DUMMYFUNCTION("""COMPUTED_VALUE"""),"2411-357")</f>
        <v>2411-357</v>
      </c>
      <c r="B204" s="1" t="str">
        <f>IFERROR(__xludf.DUMMYFUNCTION("""COMPUTED_VALUE"""),"EXP-Nationalcity-Smoke-Shop-TI-Plans")</f>
        <v>EXP-Nationalcity-Smoke-Shop-TI-Plans</v>
      </c>
      <c r="C204" s="1" t="str">
        <f>IFERROR(__xludf.DUMMYFUNCTION("""COMPUTED_VALUE"""),"Approved - Construction Phase")</f>
        <v>Approved - Construction Phase</v>
      </c>
      <c r="D204" s="4">
        <f>IFERROR(__xludf.DUMMYFUNCTION("""COMPUTED_VALUE"""),965670.0)</f>
        <v>965670</v>
      </c>
      <c r="E204" s="5" t="s">
        <v>34</v>
      </c>
      <c r="F204" s="2"/>
      <c r="J204" s="2" t="s">
        <v>33</v>
      </c>
      <c r="K204" s="2" t="s">
        <v>43</v>
      </c>
      <c r="L204" s="2" t="s">
        <v>23</v>
      </c>
      <c r="M204" s="5" t="s">
        <v>48</v>
      </c>
      <c r="N204" s="5" t="s">
        <v>24</v>
      </c>
      <c r="O204" s="5" t="s">
        <v>37</v>
      </c>
      <c r="S204" s="3">
        <v>46006.019022754626</v>
      </c>
      <c r="T204" s="6"/>
      <c r="U204" s="6"/>
      <c r="V204" s="3">
        <v>46005.564625046296</v>
      </c>
      <c r="W204" s="3">
        <v>46005.49827186343</v>
      </c>
      <c r="X204" s="6"/>
    </row>
    <row r="205">
      <c r="A205" s="1" t="str">
        <f>IFERROR(__xludf.DUMMYFUNCTION("""COMPUTED_VALUE"""),"2411-356")</f>
        <v>2411-356</v>
      </c>
      <c r="B205" s="1" t="str">
        <f>IFERROR(__xludf.DUMMYFUNCTION("""COMPUTED_VALUE"""),"Mazmanyan-Pine-Mountain-Club-Basement")</f>
        <v>Mazmanyan-Pine-Mountain-Club-Basement</v>
      </c>
      <c r="C205" s="1" t="str">
        <f>IFERROR(__xludf.DUMMYFUNCTION("""COMPUTED_VALUE"""),"A009 Resubmitted")</f>
        <v>A009 Resubmitted</v>
      </c>
      <c r="D205" s="4">
        <f>IFERROR(__xludf.DUMMYFUNCTION("""COMPUTED_VALUE"""),965460.0)</f>
        <v>965460</v>
      </c>
      <c r="E205" s="5" t="s">
        <v>34</v>
      </c>
      <c r="F205" s="2"/>
      <c r="J205" s="2" t="s">
        <v>50</v>
      </c>
      <c r="K205" s="2" t="s">
        <v>40</v>
      </c>
      <c r="L205" s="2" t="s">
        <v>51</v>
      </c>
      <c r="M205" s="5" t="s">
        <v>27</v>
      </c>
      <c r="N205" s="5" t="s">
        <v>24</v>
      </c>
      <c r="O205" s="5" t="s">
        <v>27</v>
      </c>
      <c r="S205" s="6"/>
      <c r="T205" s="6"/>
      <c r="U205" s="6"/>
      <c r="V205" s="3">
        <v>46005.498997256946</v>
      </c>
      <c r="W205" s="3">
        <v>46005.49991136574</v>
      </c>
      <c r="X205" s="6"/>
    </row>
    <row r="206">
      <c r="A206" s="1" t="str">
        <f>IFERROR(__xludf.DUMMYFUNCTION("""COMPUTED_VALUE"""),"2411-355")</f>
        <v>2411-355</v>
      </c>
      <c r="B206" s="1" t="str">
        <f>IFERROR(__xludf.DUMMYFUNCTION("""COMPUTED_VALUE"""),"Ciubotaru-Desert-Hot-Springs-Site-Plan-Floorplans")</f>
        <v>Ciubotaru-Desert-Hot-Springs-Site-Plan-Floorplans</v>
      </c>
      <c r="C206" s="1" t="str">
        <f>IFERROR(__xludf.DUMMYFUNCTION("""COMPUTED_VALUE"""),"Abandoned,Expired")</f>
        <v>Abandoned,Expired</v>
      </c>
      <c r="D206" s="4">
        <f>IFERROR(__xludf.DUMMYFUNCTION("""COMPUTED_VALUE"""),959498.0)</f>
        <v>959498</v>
      </c>
      <c r="E206" s="5" t="s">
        <v>34</v>
      </c>
      <c r="J206" s="2" t="s">
        <v>23</v>
      </c>
      <c r="K206" s="2" t="s">
        <v>39</v>
      </c>
      <c r="L206" s="2" t="s">
        <v>51</v>
      </c>
      <c r="M206" s="5" t="s">
        <v>37</v>
      </c>
      <c r="N206" s="5" t="s">
        <v>48</v>
      </c>
      <c r="O206" s="5" t="s">
        <v>27</v>
      </c>
      <c r="S206" s="6"/>
      <c r="T206" s="6"/>
      <c r="U206" s="6"/>
      <c r="V206" s="6"/>
      <c r="W206" s="6"/>
      <c r="X206" s="6"/>
    </row>
    <row r="207">
      <c r="A207" s="1" t="str">
        <f>IFERROR(__xludf.DUMMYFUNCTION("""COMPUTED_VALUE"""),"2411-354")</f>
        <v>2411-354</v>
      </c>
      <c r="B207" s="1" t="str">
        <f>IFERROR(__xludf.DUMMYFUNCTION("""COMPUTED_VALUE"""),"Sauerbrey-Joshua-Tree-Carport-Patio-Structural")</f>
        <v>Sauerbrey-Joshua-Tree-Carport-Patio-Structural</v>
      </c>
      <c r="C207" s="1" t="str">
        <f>IFERROR(__xludf.DUMMYFUNCTION("""COMPUTED_VALUE"""),"A009 Resubmitted")</f>
        <v>A009 Resubmitted</v>
      </c>
      <c r="D207" s="4">
        <f>IFERROR(__xludf.DUMMYFUNCTION("""COMPUTED_VALUE"""),959497.0)</f>
        <v>959497</v>
      </c>
      <c r="E207" s="5" t="s">
        <v>20</v>
      </c>
      <c r="F207" s="2"/>
      <c r="J207" s="2" t="s">
        <v>36</v>
      </c>
      <c r="K207" s="2" t="s">
        <v>43</v>
      </c>
      <c r="L207" s="2" t="s">
        <v>36</v>
      </c>
      <c r="M207" s="5" t="s">
        <v>48</v>
      </c>
      <c r="N207" s="5" t="s">
        <v>37</v>
      </c>
      <c r="O207" s="5" t="s">
        <v>44</v>
      </c>
      <c r="S207" s="6"/>
      <c r="T207" s="3">
        <v>46005.19853659722</v>
      </c>
      <c r="U207" s="6"/>
      <c r="V207" s="3">
        <v>46006.069792581024</v>
      </c>
      <c r="W207" s="3">
        <v>46006.03974775463</v>
      </c>
      <c r="X207" s="6"/>
    </row>
    <row r="208">
      <c r="A208" s="1" t="str">
        <f>IFERROR(__xludf.DUMMYFUNCTION("""COMPUTED_VALUE"""),"2411-353")</f>
        <v>2411-353</v>
      </c>
      <c r="B208" s="1" t="str">
        <f>IFERROR(__xludf.DUMMYFUNCTION("""COMPUTED_VALUE"""),"Benson-La-Quinta-Patio-Structural")</f>
        <v>Benson-La-Quinta-Patio-Structural</v>
      </c>
      <c r="C208" s="1" t="str">
        <f>IFERROR(__xludf.DUMMYFUNCTION("""COMPUTED_VALUE"""),"Abandoned,Expired")</f>
        <v>Abandoned,Expired</v>
      </c>
      <c r="D208" s="4">
        <f>IFERROR(__xludf.DUMMYFUNCTION("""COMPUTED_VALUE"""),959495.0)</f>
        <v>959495</v>
      </c>
      <c r="E208" s="5" t="s">
        <v>34</v>
      </c>
      <c r="J208" s="2" t="s">
        <v>49</v>
      </c>
      <c r="K208" s="2" t="s">
        <v>51</v>
      </c>
      <c r="L208" s="2" t="s">
        <v>22</v>
      </c>
      <c r="M208" s="5" t="s">
        <v>48</v>
      </c>
      <c r="N208" s="5" t="s">
        <v>48</v>
      </c>
      <c r="O208" s="5" t="s">
        <v>27</v>
      </c>
      <c r="S208" s="6"/>
      <c r="T208" s="6"/>
      <c r="U208" s="6"/>
      <c r="V208" s="6"/>
      <c r="W208" s="6"/>
      <c r="X208" s="6"/>
    </row>
    <row r="209">
      <c r="A209" s="1" t="str">
        <f>IFERROR(__xludf.DUMMYFUNCTION("""COMPUTED_VALUE"""),"2411-352")</f>
        <v>2411-352</v>
      </c>
      <c r="B209" s="1" t="str">
        <f>IFERROR(__xludf.DUMMYFUNCTION("""COMPUTED_VALUE"""),"Argos-Porter-Ranch-Site-And-Footings-Plan")</f>
        <v>Argos-Porter-Ranch-Site-And-Footings-Plan</v>
      </c>
      <c r="C209" s="1" t="str">
        <f>IFERROR(__xludf.DUMMYFUNCTION("""COMPUTED_VALUE"""),"Approved - Construction Phase")</f>
        <v>Approved - Construction Phase</v>
      </c>
      <c r="D209" s="4">
        <f>IFERROR(__xludf.DUMMYFUNCTION("""COMPUTED_VALUE"""),959490.0)</f>
        <v>959490</v>
      </c>
      <c r="E209" s="5" t="s">
        <v>34</v>
      </c>
      <c r="F209" s="2"/>
      <c r="J209" s="2" t="s">
        <v>32</v>
      </c>
      <c r="K209" s="2" t="s">
        <v>47</v>
      </c>
      <c r="L209" s="2" t="s">
        <v>36</v>
      </c>
      <c r="M209" s="5" t="s">
        <v>37</v>
      </c>
      <c r="N209" s="5" t="s">
        <v>48</v>
      </c>
      <c r="O209" s="5" t="s">
        <v>24</v>
      </c>
      <c r="S209" s="3">
        <v>46005.56411497685</v>
      </c>
      <c r="T209" s="6"/>
      <c r="U209" s="6"/>
      <c r="V209" s="3">
        <v>46005.50008091435</v>
      </c>
      <c r="W209" s="3">
        <v>46005.50006099537</v>
      </c>
      <c r="X209" s="6"/>
    </row>
    <row r="210">
      <c r="A210" s="1" t="str">
        <f>IFERROR(__xludf.DUMMYFUNCTION("""COMPUTED_VALUE"""),"2411-351")</f>
        <v>2411-351</v>
      </c>
      <c r="B210" s="1" t="str">
        <f>IFERROR(__xludf.DUMMYFUNCTION("""COMPUTED_VALUE"""),"Man-San-Bernardino-New-SFR")</f>
        <v>Man-San-Bernardino-New-SFR</v>
      </c>
      <c r="C210" s="1" t="str">
        <f>IFERROR(__xludf.DUMMYFUNCTION("""COMPUTED_VALUE"""),"Approved - Construction Phase")</f>
        <v>Approved - Construction Phase</v>
      </c>
      <c r="D210" s="4">
        <f>IFERROR(__xludf.DUMMYFUNCTION("""COMPUTED_VALUE"""),959485.0)</f>
        <v>959485</v>
      </c>
      <c r="E210" s="5" t="s">
        <v>20</v>
      </c>
      <c r="J210" s="2" t="s">
        <v>26</v>
      </c>
      <c r="K210" s="2" t="s">
        <v>26</v>
      </c>
      <c r="L210" s="2" t="s">
        <v>26</v>
      </c>
      <c r="M210" s="5" t="s">
        <v>37</v>
      </c>
      <c r="N210" s="5" t="s">
        <v>37</v>
      </c>
      <c r="O210" s="5" t="s">
        <v>48</v>
      </c>
      <c r="S210" s="6"/>
      <c r="T210" s="6"/>
      <c r="U210" s="6"/>
      <c r="V210" s="6"/>
      <c r="W210" s="6"/>
      <c r="X210" s="6"/>
    </row>
    <row r="211">
      <c r="A211" s="1" t="str">
        <f>IFERROR(__xludf.DUMMYFUNCTION("""COMPUTED_VALUE"""),"2411-350")</f>
        <v>2411-350</v>
      </c>
      <c r="B211" s="1" t="str">
        <f>IFERROR(__xludf.DUMMYFUNCTION("""COMPUTED_VALUE"""),"Castro-Apple-Valley-CUP-Site-Plan")</f>
        <v>Castro-Apple-Valley-CUP-Site-Plan</v>
      </c>
      <c r="C211" s="1" t="str">
        <f>IFERROR(__xludf.DUMMYFUNCTION("""COMPUTED_VALUE"""),"A008 Submitted - Waiting on Others")</f>
        <v>A008 Submitted - Waiting on Others</v>
      </c>
      <c r="D211" s="4">
        <f>IFERROR(__xludf.DUMMYFUNCTION("""COMPUTED_VALUE"""),959483.0)</f>
        <v>959483</v>
      </c>
      <c r="E211" s="5" t="s">
        <v>34</v>
      </c>
      <c r="J211" s="2" t="s">
        <v>23</v>
      </c>
      <c r="K211" s="2" t="s">
        <v>25</v>
      </c>
      <c r="L211" s="2" t="s">
        <v>49</v>
      </c>
      <c r="M211" s="5" t="s">
        <v>24</v>
      </c>
      <c r="N211" s="5" t="s">
        <v>48</v>
      </c>
      <c r="O211" s="5" t="s">
        <v>48</v>
      </c>
      <c r="S211" s="6"/>
      <c r="T211" s="6"/>
      <c r="U211" s="6"/>
      <c r="V211" s="6"/>
      <c r="W211" s="6"/>
      <c r="X211" s="6"/>
    </row>
    <row r="212">
      <c r="A212" s="1" t="str">
        <f>IFERROR(__xludf.DUMMYFUNCTION("""COMPUTED_VALUE"""),"2411-349")</f>
        <v>2411-349</v>
      </c>
      <c r="B212" s="1" t="str">
        <f>IFERROR(__xludf.DUMMYFUNCTION("""COMPUTED_VALUE"""),"Switzer-San-Pedro-ADU-Frog")</f>
        <v>Switzer-San-Pedro-ADU-Frog</v>
      </c>
      <c r="C212" s="1" t="str">
        <f>IFERROR(__xludf.DUMMYFUNCTION("""COMPUTED_VALUE"""),"A008.2 Architectural Comment Responses")</f>
        <v>A008.2 Architectural Comment Responses</v>
      </c>
      <c r="D212" s="4">
        <f>IFERROR(__xludf.DUMMYFUNCTION("""COMPUTED_VALUE"""),959479.0)</f>
        <v>959479</v>
      </c>
      <c r="E212" s="5" t="s">
        <v>20</v>
      </c>
      <c r="J212" s="2" t="s">
        <v>22</v>
      </c>
      <c r="K212" s="2" t="s">
        <v>26</v>
      </c>
      <c r="L212" s="2" t="s">
        <v>42</v>
      </c>
      <c r="M212" s="5" t="s">
        <v>27</v>
      </c>
      <c r="N212" s="5" t="s">
        <v>27</v>
      </c>
      <c r="O212" s="5" t="s">
        <v>48</v>
      </c>
      <c r="S212" s="6"/>
      <c r="T212" s="6"/>
      <c r="U212" s="6"/>
      <c r="V212" s="6"/>
      <c r="W212" s="6"/>
      <c r="X212" s="6"/>
    </row>
    <row r="213">
      <c r="A213" s="1" t="str">
        <f>IFERROR(__xludf.DUMMYFUNCTION("""COMPUTED_VALUE"""),"2411-348")</f>
        <v>2411-348</v>
      </c>
      <c r="B213" s="1" t="str">
        <f>IFERROR(__xludf.DUMMYFUNCTION("""COMPUTED_VALUE"""),"Maina-Joshua-Tree-New-SFR-Plans")</f>
        <v>Maina-Joshua-Tree-New-SFR-Plans</v>
      </c>
      <c r="C213" s="1" t="str">
        <f>IFERROR(__xludf.DUMMYFUNCTION("""COMPUTED_VALUE"""),"Approved - Construction Phase")</f>
        <v>Approved - Construction Phase</v>
      </c>
      <c r="D213" s="4">
        <f>IFERROR(__xludf.DUMMYFUNCTION("""COMPUTED_VALUE"""),953668.0)</f>
        <v>953668</v>
      </c>
      <c r="E213" s="5" t="s">
        <v>34</v>
      </c>
      <c r="F213" s="2"/>
      <c r="J213" s="2" t="s">
        <v>32</v>
      </c>
      <c r="K213" s="2" t="s">
        <v>43</v>
      </c>
      <c r="L213" s="2" t="s">
        <v>33</v>
      </c>
      <c r="M213" s="5" t="s">
        <v>27</v>
      </c>
      <c r="N213" s="5" t="s">
        <v>44</v>
      </c>
      <c r="O213" s="5" t="s">
        <v>37</v>
      </c>
      <c r="S213" s="6"/>
      <c r="T213" s="6"/>
      <c r="U213" s="6"/>
      <c r="V213" s="3">
        <v>46005.56471953704</v>
      </c>
      <c r="W213" s="3">
        <v>46005.564703020835</v>
      </c>
      <c r="X213" s="6"/>
    </row>
    <row r="214">
      <c r="A214" s="1" t="str">
        <f>IFERROR(__xludf.DUMMYFUNCTION("""COMPUTED_VALUE"""),"2411-347")</f>
        <v>2411-347</v>
      </c>
      <c r="B214" s="1" t="str">
        <f>IFERROR(__xludf.DUMMYFUNCTION("""COMPUTED_VALUE"""),"Klever-Kidz-Lancaster-Occupancy-Review")</f>
        <v>Klever-Kidz-Lancaster-Occupancy-Review</v>
      </c>
      <c r="C214" s="1" t="str">
        <f>IFERROR(__xludf.DUMMYFUNCTION("""COMPUTED_VALUE"""),"Approved - Construction Phase")</f>
        <v>Approved - Construction Phase</v>
      </c>
      <c r="D214" s="4">
        <f>IFERROR(__xludf.DUMMYFUNCTION("""COMPUTED_VALUE"""),953522.0)</f>
        <v>953522</v>
      </c>
      <c r="E214" s="5" t="s">
        <v>34</v>
      </c>
      <c r="J214" s="2" t="s">
        <v>51</v>
      </c>
      <c r="K214" s="2" t="s">
        <v>51</v>
      </c>
      <c r="L214" s="2" t="s">
        <v>43</v>
      </c>
      <c r="M214" s="5" t="s">
        <v>48</v>
      </c>
      <c r="N214" s="5" t="s">
        <v>27</v>
      </c>
      <c r="O214" s="5" t="s">
        <v>48</v>
      </c>
      <c r="S214" s="6"/>
      <c r="T214" s="6"/>
      <c r="U214" s="6"/>
      <c r="V214" s="6"/>
      <c r="W214" s="6"/>
      <c r="X214" s="6"/>
    </row>
    <row r="215">
      <c r="A215" s="1" t="str">
        <f>IFERROR(__xludf.DUMMYFUNCTION("""COMPUTED_VALUE"""),"2411-346")</f>
        <v>2411-346</v>
      </c>
      <c r="B215" s="1" t="str">
        <f>IFERROR(__xludf.DUMMYFUNCTION("""COMPUTED_VALUE"""),"Kaufman-Westchester-Garage-ADU-Conversion")</f>
        <v>Kaufman-Westchester-Garage-ADU-Conversion</v>
      </c>
      <c r="C215" s="1" t="str">
        <f>IFERROR(__xludf.DUMMYFUNCTION("""COMPUTED_VALUE"""),"Approved - Construction Phase")</f>
        <v>Approved - Construction Phase</v>
      </c>
      <c r="D215" s="4">
        <f>IFERROR(__xludf.DUMMYFUNCTION("""COMPUTED_VALUE"""),953354.0)</f>
        <v>953354</v>
      </c>
      <c r="E215" s="5" t="s">
        <v>34</v>
      </c>
      <c r="F215" s="2"/>
      <c r="H215" s="2" t="s">
        <v>56</v>
      </c>
      <c r="I215" s="2"/>
      <c r="J215" s="2" t="s">
        <v>23</v>
      </c>
      <c r="K215" s="2" t="s">
        <v>39</v>
      </c>
      <c r="L215" s="2" t="s">
        <v>43</v>
      </c>
      <c r="M215" s="5" t="s">
        <v>48</v>
      </c>
      <c r="N215" s="5" t="s">
        <v>44</v>
      </c>
      <c r="O215" s="5" t="s">
        <v>24</v>
      </c>
      <c r="S215" s="3">
        <v>46005.55342296296</v>
      </c>
      <c r="T215" s="6"/>
      <c r="U215" s="6"/>
      <c r="V215" s="3">
        <v>46005.503427627315</v>
      </c>
      <c r="W215" s="3">
        <v>46005.504197546295</v>
      </c>
      <c r="X215" s="6"/>
    </row>
    <row r="216">
      <c r="A216" s="1" t="str">
        <f>IFERROR(__xludf.DUMMYFUNCTION("""COMPUTED_VALUE"""),"2411-345")</f>
        <v>2411-345</v>
      </c>
      <c r="B216" s="1" t="str">
        <f>IFERROR(__xludf.DUMMYFUNCTION("""COMPUTED_VALUE"""),"Seagren-SD-ADU-Expansion")</f>
        <v>Seagren-SD-ADU-Expansion</v>
      </c>
      <c r="C216" s="1" t="str">
        <f>IFERROR(__xludf.DUMMYFUNCTION("""COMPUTED_VALUE"""),"Approved - Construction Phase")</f>
        <v>Approved - Construction Phase</v>
      </c>
      <c r="D216" s="4">
        <f>IFERROR(__xludf.DUMMYFUNCTION("""COMPUTED_VALUE"""),952653.0)</f>
        <v>952653</v>
      </c>
      <c r="E216" s="5" t="s">
        <v>34</v>
      </c>
      <c r="J216" s="2" t="s">
        <v>32</v>
      </c>
      <c r="K216" s="2" t="s">
        <v>25</v>
      </c>
      <c r="L216" s="2" t="s">
        <v>40</v>
      </c>
      <c r="M216" s="5" t="s">
        <v>44</v>
      </c>
      <c r="N216" s="5" t="s">
        <v>48</v>
      </c>
      <c r="O216" s="5" t="s">
        <v>48</v>
      </c>
      <c r="S216" s="6"/>
      <c r="T216" s="6"/>
      <c r="U216" s="6"/>
      <c r="V216" s="6"/>
      <c r="W216" s="3">
        <v>46005.5647805787</v>
      </c>
      <c r="X216" s="6"/>
    </row>
    <row r="217">
      <c r="A217" s="1" t="str">
        <f>IFERROR(__xludf.DUMMYFUNCTION("""COMPUTED_VALUE"""),"2411-344")</f>
        <v>2411-344</v>
      </c>
      <c r="B217" s="1" t="str">
        <f>IFERROR(__xludf.DUMMYFUNCTION("""COMPUTED_VALUE"""),"Lemos-SD-New-ADU-SFR-Remodel")</f>
        <v>Lemos-SD-New-ADU-SFR-Remodel</v>
      </c>
      <c r="C217" s="1" t="str">
        <f>IFERROR(__xludf.DUMMYFUNCTION("""COMPUTED_VALUE"""),"Paused - Stalled by 3rd Party")</f>
        <v>Paused - Stalled by 3rd Party</v>
      </c>
      <c r="D217" s="4">
        <f>IFERROR(__xludf.DUMMYFUNCTION("""COMPUTED_VALUE"""),950391.0)</f>
        <v>950391</v>
      </c>
      <c r="E217" s="5" t="s">
        <v>20</v>
      </c>
      <c r="J217" s="2" t="s">
        <v>22</v>
      </c>
      <c r="K217" s="2" t="s">
        <v>33</v>
      </c>
      <c r="L217" s="2" t="s">
        <v>49</v>
      </c>
      <c r="M217" s="2" t="s">
        <v>37</v>
      </c>
      <c r="N217" s="5" t="s">
        <v>24</v>
      </c>
      <c r="O217" s="5" t="s">
        <v>27</v>
      </c>
      <c r="S217" s="3">
        <v>46006.39083013889</v>
      </c>
      <c r="T217" s="6"/>
      <c r="U217" s="6"/>
      <c r="V217" s="6"/>
      <c r="W217" s="3">
        <v>46006.07010658565</v>
      </c>
      <c r="X217" s="6"/>
    </row>
    <row r="218">
      <c r="A218" s="1" t="str">
        <f>IFERROR(__xludf.DUMMYFUNCTION("""COMPUTED_VALUE"""),"2411-343")</f>
        <v>2411-343</v>
      </c>
      <c r="B218" s="1" t="str">
        <f>IFERROR(__xludf.DUMMYFUNCTION("""COMPUTED_VALUE"""),"Gahir - Simi Valley - Detached ADU")</f>
        <v>Gahir - Simi Valley - Detached ADU</v>
      </c>
      <c r="C218" s="1" t="str">
        <f>IFERROR(__xludf.DUMMYFUNCTION("""COMPUTED_VALUE"""),"Approved - Construction Phase")</f>
        <v>Approved - Construction Phase</v>
      </c>
      <c r="D218" s="4">
        <f>IFERROR(__xludf.DUMMYFUNCTION("""COMPUTED_VALUE"""),949322.0)</f>
        <v>949322</v>
      </c>
      <c r="E218" s="5" t="s">
        <v>34</v>
      </c>
      <c r="J218" s="2" t="s">
        <v>50</v>
      </c>
      <c r="K218" s="2" t="s">
        <v>49</v>
      </c>
      <c r="L218" s="2" t="s">
        <v>32</v>
      </c>
      <c r="M218" s="5" t="s">
        <v>24</v>
      </c>
      <c r="N218" s="5" t="s">
        <v>37</v>
      </c>
      <c r="O218" s="5" t="s">
        <v>44</v>
      </c>
      <c r="S218" s="6"/>
      <c r="T218" s="6"/>
      <c r="U218" s="6"/>
      <c r="V218" s="6"/>
      <c r="W218" s="6"/>
      <c r="X218" s="6"/>
    </row>
    <row r="219">
      <c r="A219" s="1" t="str">
        <f>IFERROR(__xludf.DUMMYFUNCTION("""COMPUTED_VALUE"""),"2411-342")</f>
        <v>2411-342</v>
      </c>
      <c r="B219" s="1" t="str">
        <f>IFERROR(__xludf.DUMMYFUNCTION("""COMPUTED_VALUE"""),"Galvan - San Diego - Detached ADU")</f>
        <v>Galvan - San Diego - Detached ADU</v>
      </c>
      <c r="C219" s="1" t="str">
        <f>IFERROR(__xludf.DUMMYFUNCTION("""COMPUTED_VALUE"""),"A009 Resubmitted")</f>
        <v>A009 Resubmitted</v>
      </c>
      <c r="D219" s="4">
        <f>IFERROR(__xludf.DUMMYFUNCTION("""COMPUTED_VALUE"""),948630.0)</f>
        <v>948630</v>
      </c>
      <c r="E219" s="5" t="s">
        <v>20</v>
      </c>
      <c r="J219" s="2" t="s">
        <v>36</v>
      </c>
      <c r="K219" s="2" t="s">
        <v>22</v>
      </c>
      <c r="L219" s="2" t="s">
        <v>32</v>
      </c>
      <c r="M219" s="5" t="s">
        <v>48</v>
      </c>
      <c r="N219" s="5" t="s">
        <v>24</v>
      </c>
      <c r="O219" s="5" t="s">
        <v>27</v>
      </c>
      <c r="S219" s="6"/>
      <c r="T219" s="6"/>
      <c r="U219" s="6"/>
      <c r="V219" s="6"/>
      <c r="W219" s="6"/>
      <c r="X219" s="6"/>
    </row>
    <row r="220">
      <c r="A220" s="1" t="str">
        <f>IFERROR(__xludf.DUMMYFUNCTION("""COMPUTED_VALUE"""),"2411-341")</f>
        <v>2411-341</v>
      </c>
      <c r="B220" s="1" t="str">
        <f>IFERROR(__xludf.DUMMYFUNCTION("""COMPUTED_VALUE"""),"Finkle - Orange - Deck - Structural")</f>
        <v>Finkle - Orange - Deck - Structural</v>
      </c>
      <c r="C220" s="1" t="str">
        <f>IFERROR(__xludf.DUMMYFUNCTION("""COMPUTED_VALUE"""),"Abandoned,Expired")</f>
        <v>Abandoned,Expired</v>
      </c>
      <c r="D220" s="4">
        <f>IFERROR(__xludf.DUMMYFUNCTION("""COMPUTED_VALUE"""),949212.0)</f>
        <v>949212</v>
      </c>
      <c r="E220" s="5" t="s">
        <v>20</v>
      </c>
      <c r="J220" s="2" t="s">
        <v>23</v>
      </c>
      <c r="K220" s="2" t="s">
        <v>23</v>
      </c>
      <c r="L220" s="2" t="s">
        <v>23</v>
      </c>
      <c r="M220" s="5" t="s">
        <v>37</v>
      </c>
      <c r="N220" s="5" t="s">
        <v>37</v>
      </c>
      <c r="O220" s="5" t="s">
        <v>48</v>
      </c>
      <c r="S220" s="6"/>
      <c r="T220" s="6"/>
      <c r="U220" s="6"/>
      <c r="V220" s="6"/>
      <c r="W220" s="6"/>
      <c r="X220" s="6"/>
    </row>
    <row r="221">
      <c r="A221" s="1" t="str">
        <f>IFERROR(__xludf.DUMMYFUNCTION("""COMPUTED_VALUE"""),"2411-340")</f>
        <v>2411-340</v>
      </c>
      <c r="B221" s="1" t="str">
        <f>IFERROR(__xludf.DUMMYFUNCTION("""COMPUTED_VALUE"""),"Yarash - San Diego - ADU JADU Deck Remodel")</f>
        <v>Yarash - San Diego - ADU JADU Deck Remodel</v>
      </c>
      <c r="C221" s="1" t="str">
        <f>IFERROR(__xludf.DUMMYFUNCTION("""COMPUTED_VALUE"""),"A008.8 Pending Resubmittal")</f>
        <v>A008.8 Pending Resubmittal</v>
      </c>
      <c r="D221" s="4">
        <f>IFERROR(__xludf.DUMMYFUNCTION("""COMPUTED_VALUE"""),948747.0)</f>
        <v>948747</v>
      </c>
      <c r="E221" s="5" t="s">
        <v>34</v>
      </c>
      <c r="F221" s="2"/>
      <c r="J221" s="2" t="s">
        <v>35</v>
      </c>
      <c r="K221" s="2" t="s">
        <v>36</v>
      </c>
      <c r="L221" s="2" t="s">
        <v>50</v>
      </c>
      <c r="M221" s="5" t="s">
        <v>48</v>
      </c>
      <c r="N221" s="5" t="s">
        <v>48</v>
      </c>
      <c r="O221" s="5" t="s">
        <v>37</v>
      </c>
      <c r="S221" s="3">
        <v>46006.24031395833</v>
      </c>
      <c r="T221" s="6"/>
      <c r="U221" s="6"/>
      <c r="V221" s="3">
        <v>46005.56488015046</v>
      </c>
      <c r="W221" s="3">
        <v>46005.56486738426</v>
      </c>
      <c r="X221" s="6"/>
    </row>
    <row r="222">
      <c r="A222" s="1" t="str">
        <f>IFERROR(__xludf.DUMMYFUNCTION("""COMPUTED_VALUE"""),"2411-339")</f>
        <v>2411-339</v>
      </c>
      <c r="B222" s="1" t="str">
        <f>IFERROR(__xludf.DUMMYFUNCTION("""COMPUTED_VALUE"""),"Avery - San Diego - Structural")</f>
        <v>Avery - San Diego - Structural</v>
      </c>
      <c r="C222" s="1" t="str">
        <f>IFERROR(__xludf.DUMMYFUNCTION("""COMPUTED_VALUE"""),"Approved - Construction Phase")</f>
        <v>Approved - Construction Phase</v>
      </c>
      <c r="D222" s="4">
        <f>IFERROR(__xludf.DUMMYFUNCTION("""COMPUTED_VALUE"""),948722.0)</f>
        <v>948722</v>
      </c>
      <c r="E222" s="5" t="s">
        <v>34</v>
      </c>
      <c r="J222" s="2" t="s">
        <v>25</v>
      </c>
      <c r="K222" s="2" t="s">
        <v>51</v>
      </c>
      <c r="L222" s="2" t="s">
        <v>33</v>
      </c>
      <c r="M222" s="5" t="s">
        <v>37</v>
      </c>
      <c r="N222" s="5" t="s">
        <v>24</v>
      </c>
      <c r="O222" s="5" t="s">
        <v>44</v>
      </c>
      <c r="S222" s="6"/>
      <c r="T222" s="6"/>
      <c r="U222" s="6"/>
      <c r="V222" s="6"/>
      <c r="W222" s="6"/>
      <c r="X222" s="6"/>
    </row>
    <row r="223">
      <c r="A223" s="1" t="str">
        <f>IFERROR(__xludf.DUMMYFUNCTION("""COMPUTED_VALUE"""),"2411-338")</f>
        <v>2411-338</v>
      </c>
      <c r="B223" s="1" t="str">
        <f>IFERROR(__xludf.DUMMYFUNCTION("""COMPUTED_VALUE"""),"Adams - Corona - Remodel")</f>
        <v>Adams - Corona - Remodel</v>
      </c>
      <c r="C223" s="1" t="str">
        <f>IFERROR(__xludf.DUMMYFUNCTION("""COMPUTED_VALUE"""),"Approved - Construction Phase")</f>
        <v>Approved - Construction Phase</v>
      </c>
      <c r="D223" s="4">
        <f>IFERROR(__xludf.DUMMYFUNCTION("""COMPUTED_VALUE"""),948703.0)</f>
        <v>948703</v>
      </c>
      <c r="E223" s="5" t="s">
        <v>34</v>
      </c>
      <c r="J223" s="2" t="s">
        <v>35</v>
      </c>
      <c r="K223" s="2" t="s">
        <v>42</v>
      </c>
      <c r="L223" s="2" t="s">
        <v>22</v>
      </c>
      <c r="M223" s="5" t="s">
        <v>27</v>
      </c>
      <c r="N223" s="5" t="s">
        <v>44</v>
      </c>
      <c r="O223" s="2" t="s">
        <v>24</v>
      </c>
      <c r="S223" s="6"/>
      <c r="T223" s="6"/>
      <c r="U223" s="3">
        <v>46006.39116515046</v>
      </c>
      <c r="V223" s="6"/>
      <c r="W223" s="6"/>
      <c r="X223" s="6"/>
    </row>
    <row r="224">
      <c r="A224" s="1" t="str">
        <f>IFERROR(__xludf.DUMMYFUNCTION("""COMPUTED_VALUE"""),"2411-337")</f>
        <v>2411-337</v>
      </c>
      <c r="B224" s="1" t="str">
        <f>IFERROR(__xludf.DUMMYFUNCTION("""COMPUTED_VALUE"""),"Jokerst - San Diego - Remodel")</f>
        <v>Jokerst - San Diego - Remodel</v>
      </c>
      <c r="C224" s="1" t="str">
        <f>IFERROR(__xludf.DUMMYFUNCTION("""COMPUTED_VALUE"""),"A006.5 - Structural Engineering")</f>
        <v>A006.5 - Structural Engineering</v>
      </c>
      <c r="D224" s="4">
        <f>IFERROR(__xludf.DUMMYFUNCTION("""COMPUTED_VALUE"""),948689.0)</f>
        <v>948689</v>
      </c>
      <c r="E224" s="5" t="s">
        <v>34</v>
      </c>
      <c r="J224" s="2" t="s">
        <v>49</v>
      </c>
      <c r="K224" s="2" t="s">
        <v>25</v>
      </c>
      <c r="L224" s="2" t="s">
        <v>51</v>
      </c>
      <c r="M224" s="5" t="s">
        <v>27</v>
      </c>
      <c r="N224" s="5" t="s">
        <v>27</v>
      </c>
      <c r="O224" s="5" t="s">
        <v>24</v>
      </c>
      <c r="S224" s="6"/>
      <c r="T224" s="6"/>
      <c r="U224" s="6"/>
      <c r="V224" s="6"/>
      <c r="W224" s="6"/>
      <c r="X224" s="6"/>
    </row>
    <row r="225">
      <c r="A225" s="1" t="str">
        <f>IFERROR(__xludf.DUMMYFUNCTION("""COMPUTED_VALUE"""),"2411-336")</f>
        <v>2411-336</v>
      </c>
      <c r="B225" s="1" t="str">
        <f>IFERROR(__xludf.DUMMYFUNCTION("""COMPUTED_VALUE"""),"Martin - Oceanside - Detached ADU")</f>
        <v>Martin - Oceanside - Detached ADU</v>
      </c>
      <c r="C225" s="1" t="str">
        <f>IFERROR(__xludf.DUMMYFUNCTION("""COMPUTED_VALUE"""),"A008.2 Architectural Comment Responses")</f>
        <v>A008.2 Architectural Comment Responses</v>
      </c>
      <c r="D225" s="4">
        <f>IFERROR(__xludf.DUMMYFUNCTION("""COMPUTED_VALUE"""),948673.0)</f>
        <v>948673</v>
      </c>
      <c r="E225" s="5" t="s">
        <v>34</v>
      </c>
      <c r="F225" s="2"/>
      <c r="J225" s="2" t="s">
        <v>33</v>
      </c>
      <c r="K225" s="2" t="s">
        <v>42</v>
      </c>
      <c r="L225" s="2" t="s">
        <v>43</v>
      </c>
      <c r="M225" s="5" t="s">
        <v>44</v>
      </c>
      <c r="N225" s="5" t="s">
        <v>27</v>
      </c>
      <c r="O225" s="5" t="s">
        <v>44</v>
      </c>
      <c r="S225" s="6"/>
      <c r="T225" s="6"/>
      <c r="U225" s="6"/>
      <c r="V225" s="3">
        <v>46005.56500104167</v>
      </c>
      <c r="W225" s="3">
        <v>46005.56494935185</v>
      </c>
      <c r="X225" s="6"/>
    </row>
    <row r="226">
      <c r="A226" s="1" t="str">
        <f>IFERROR(__xludf.DUMMYFUNCTION("""COMPUTED_VALUE"""),"2411-101")</f>
        <v>2411-101</v>
      </c>
      <c r="B226" s="1" t="str">
        <f>IFERROR(__xludf.DUMMYFUNCTION("""COMPUTED_VALUE"""),"Novak - La Mesa - Plot Plan")</f>
        <v>Novak - La Mesa - Plot Plan</v>
      </c>
      <c r="C226" s="1" t="str">
        <f>IFERROR(__xludf.DUMMYFUNCTION("""COMPUTED_VALUE"""),"Approved - Construction Phase")</f>
        <v>Approved - Construction Phase</v>
      </c>
      <c r="D226" s="4">
        <f>IFERROR(__xludf.DUMMYFUNCTION("""COMPUTED_VALUE"""),948658.0)</f>
        <v>948658</v>
      </c>
      <c r="E226" s="5" t="s">
        <v>34</v>
      </c>
      <c r="J226" s="2" t="s">
        <v>25</v>
      </c>
      <c r="K226" s="2" t="s">
        <v>51</v>
      </c>
      <c r="L226" s="2" t="s">
        <v>42</v>
      </c>
      <c r="M226" s="5" t="s">
        <v>27</v>
      </c>
      <c r="N226" s="5" t="s">
        <v>44</v>
      </c>
      <c r="O226" s="5" t="s">
        <v>37</v>
      </c>
      <c r="S226" s="6"/>
      <c r="T226" s="6"/>
      <c r="U226" s="6"/>
      <c r="V226" s="6"/>
      <c r="W226" s="6"/>
      <c r="X226" s="6"/>
    </row>
    <row r="227">
      <c r="A227" s="1" t="str">
        <f>IFERROR(__xludf.DUMMYFUNCTION("""COMPUTED_VALUE"""),"2411-100")</f>
        <v>2411-100</v>
      </c>
      <c r="B227" s="1" t="str">
        <f>IFERROR(__xludf.DUMMYFUNCTION("""COMPUTED_VALUE"""),"PSG Small Project Template")</f>
        <v>PSG Small Project Template</v>
      </c>
      <c r="C227" s="1" t="str">
        <f>IFERROR(__xludf.DUMMYFUNCTION("""COMPUTED_VALUE"""),"A001 Estimate, Proposal &amp; Project Data")</f>
        <v>A001 Estimate, Proposal &amp; Project Data</v>
      </c>
      <c r="D227" s="4">
        <f>IFERROR(__xludf.DUMMYFUNCTION("""COMPUTED_VALUE"""),912597.0)</f>
        <v>912597</v>
      </c>
      <c r="E227" s="5" t="s">
        <v>34</v>
      </c>
      <c r="J227" s="2" t="s">
        <v>25</v>
      </c>
      <c r="K227" s="2" t="s">
        <v>32</v>
      </c>
      <c r="L227" s="2" t="s">
        <v>49</v>
      </c>
      <c r="M227" s="5" t="s">
        <v>37</v>
      </c>
      <c r="N227" s="5" t="s">
        <v>27</v>
      </c>
      <c r="O227" s="5" t="s">
        <v>27</v>
      </c>
      <c r="S227" s="6"/>
      <c r="T227" s="6"/>
      <c r="U227" s="6"/>
      <c r="V227" s="6"/>
      <c r="W227" s="6"/>
      <c r="X227" s="6"/>
    </row>
    <row r="228">
      <c r="A228" s="1" t="str">
        <f>IFERROR(__xludf.DUMMYFUNCTION("""COMPUTED_VALUE"""),"2410-335")</f>
        <v>2410-335</v>
      </c>
      <c r="B228" s="1" t="str">
        <f>IFERROR(__xludf.DUMMYFUNCTION("""COMPUTED_VALUE"""),"DeVelbiss-Hemet-New SFR")</f>
        <v>DeVelbiss-Hemet-New SFR</v>
      </c>
      <c r="C228" s="1" t="str">
        <f>IFERROR(__xludf.DUMMYFUNCTION("""COMPUTED_VALUE"""),"A008.2 Architectural Comment Responses")</f>
        <v>A008.2 Architectural Comment Responses</v>
      </c>
      <c r="D228" s="4">
        <f>IFERROR(__xludf.DUMMYFUNCTION("""COMPUTED_VALUE"""),939206.0)</f>
        <v>939206</v>
      </c>
      <c r="E228" s="5" t="s">
        <v>20</v>
      </c>
      <c r="J228" s="2" t="s">
        <v>25</v>
      </c>
      <c r="K228" s="2" t="s">
        <v>25</v>
      </c>
      <c r="L228" s="2" t="s">
        <v>36</v>
      </c>
      <c r="M228" s="5" t="s">
        <v>37</v>
      </c>
      <c r="N228" s="5" t="s">
        <v>44</v>
      </c>
      <c r="O228" s="5" t="s">
        <v>44</v>
      </c>
      <c r="S228" s="6"/>
      <c r="T228" s="6"/>
      <c r="U228" s="6"/>
      <c r="V228" s="6"/>
      <c r="W228" s="6"/>
      <c r="X228" s="6"/>
    </row>
    <row r="229">
      <c r="A229" s="1" t="str">
        <f>IFERROR(__xludf.DUMMYFUNCTION("""COMPUTED_VALUE"""),"2410-334")</f>
        <v>2410-334</v>
      </c>
      <c r="B229" s="1" t="str">
        <f>IFERROR(__xludf.DUMMYFUNCTION("""COMPUTED_VALUE"""),"Veterans-Woodland Hills-Bar Health Permit")</f>
        <v>Veterans-Woodland Hills-Bar Health Permit</v>
      </c>
      <c r="C229" s="1" t="str">
        <f>IFERROR(__xludf.DUMMYFUNCTION("""COMPUTED_VALUE"""),"A008.2 Architectural Comment Responses")</f>
        <v>A008.2 Architectural Comment Responses</v>
      </c>
      <c r="D229" s="4">
        <f>IFERROR(__xludf.DUMMYFUNCTION("""COMPUTED_VALUE"""),974094.0)</f>
        <v>974094</v>
      </c>
      <c r="E229" s="5" t="s">
        <v>34</v>
      </c>
      <c r="F229" s="2"/>
      <c r="J229" s="2" t="s">
        <v>22</v>
      </c>
      <c r="K229" s="2" t="s">
        <v>33</v>
      </c>
      <c r="L229" s="2" t="s">
        <v>50</v>
      </c>
      <c r="M229" s="5" t="s">
        <v>24</v>
      </c>
      <c r="N229" s="5" t="s">
        <v>37</v>
      </c>
      <c r="O229" s="5" t="s">
        <v>48</v>
      </c>
      <c r="S229" s="6"/>
      <c r="T229" s="6"/>
      <c r="U229" s="6"/>
      <c r="V229" s="3">
        <v>46006.06958451388</v>
      </c>
      <c r="W229" s="3">
        <v>46006.037928668986</v>
      </c>
      <c r="X229" s="6"/>
    </row>
    <row r="230">
      <c r="A230" s="1" t="str">
        <f>IFERROR(__xludf.DUMMYFUNCTION("""COMPUTED_VALUE"""),"2410-333")</f>
        <v>2410-333</v>
      </c>
      <c r="B230" s="1" t="str">
        <f>IFERROR(__xludf.DUMMYFUNCTION("""COMPUTED_VALUE"""),"King-Palm Springs-SFR Remodel")</f>
        <v>King-Palm Springs-SFR Remodel</v>
      </c>
      <c r="C230" s="1" t="str">
        <f>IFERROR(__xludf.DUMMYFUNCTION("""COMPUTED_VALUE"""),"Approved - Construction Phase")</f>
        <v>Approved - Construction Phase</v>
      </c>
      <c r="D230" s="4">
        <f>IFERROR(__xludf.DUMMYFUNCTION("""COMPUTED_VALUE"""),939532.0)</f>
        <v>939532</v>
      </c>
      <c r="E230" s="5" t="s">
        <v>20</v>
      </c>
      <c r="J230" s="2" t="s">
        <v>47</v>
      </c>
      <c r="K230" s="2" t="s">
        <v>22</v>
      </c>
      <c r="L230" s="2" t="s">
        <v>23</v>
      </c>
      <c r="M230" s="5" t="s">
        <v>27</v>
      </c>
      <c r="N230" s="2" t="s">
        <v>24</v>
      </c>
      <c r="O230" s="5" t="s">
        <v>37</v>
      </c>
      <c r="S230" s="6"/>
      <c r="T230" s="3">
        <v>46006.39123306713</v>
      </c>
      <c r="U230" s="6"/>
      <c r="V230" s="6"/>
      <c r="W230" s="6"/>
      <c r="X230" s="6"/>
    </row>
    <row r="231">
      <c r="A231" s="1" t="str">
        <f>IFERROR(__xludf.DUMMYFUNCTION("""COMPUTED_VALUE"""),"2410-332")</f>
        <v>2410-332</v>
      </c>
      <c r="B231" s="1" t="str">
        <f>IFERROR(__xludf.DUMMYFUNCTION("""COMPUTED_VALUE"""),"Gonzalez Quality Carriers-Compton-Site Plan")</f>
        <v>Gonzalez Quality Carriers-Compton-Site Plan</v>
      </c>
      <c r="C231" s="1" t="str">
        <f>IFERROR(__xludf.DUMMYFUNCTION("""COMPUTED_VALUE"""),"Abandoned,Expired")</f>
        <v>Abandoned,Expired</v>
      </c>
      <c r="D231" s="4">
        <f>IFERROR(__xludf.DUMMYFUNCTION("""COMPUTED_VALUE"""),938887.0)</f>
        <v>938887</v>
      </c>
      <c r="E231" s="5" t="s">
        <v>20</v>
      </c>
      <c r="J231" s="2" t="s">
        <v>32</v>
      </c>
      <c r="K231" s="2" t="s">
        <v>26</v>
      </c>
      <c r="L231" s="2" t="s">
        <v>22</v>
      </c>
      <c r="M231" s="5" t="s">
        <v>48</v>
      </c>
      <c r="N231" s="5" t="s">
        <v>37</v>
      </c>
      <c r="O231" s="5" t="s">
        <v>37</v>
      </c>
      <c r="S231" s="6"/>
      <c r="T231" s="6"/>
      <c r="U231" s="6"/>
      <c r="V231" s="6"/>
      <c r="W231" s="6"/>
      <c r="X231" s="6"/>
    </row>
    <row r="232">
      <c r="A232" s="1" t="str">
        <f>IFERROR(__xludf.DUMMYFUNCTION("""COMPUTED_VALUE"""),"2410-331")</f>
        <v>2410-331</v>
      </c>
      <c r="B232" s="1" t="str">
        <f>IFERROR(__xludf.DUMMYFUNCTION("""COMPUTED_VALUE"""),"Dickman-La Cresenta-Addition-Garage ADU")</f>
        <v>Dickman-La Cresenta-Addition-Garage ADU</v>
      </c>
      <c r="C232" s="1" t="str">
        <f>IFERROR(__xludf.DUMMYFUNCTION("""COMPUTED_VALUE"""),"A008.2 Architectural Comment Responses")</f>
        <v>A008.2 Architectural Comment Responses</v>
      </c>
      <c r="D232" s="4">
        <f>IFERROR(__xludf.DUMMYFUNCTION("""COMPUTED_VALUE"""),938894.0)</f>
        <v>938894</v>
      </c>
      <c r="E232" s="5" t="s">
        <v>34</v>
      </c>
      <c r="J232" s="2" t="s">
        <v>49</v>
      </c>
      <c r="K232" s="2" t="s">
        <v>36</v>
      </c>
      <c r="L232" s="2" t="s">
        <v>40</v>
      </c>
      <c r="M232" s="5" t="s">
        <v>44</v>
      </c>
      <c r="N232" s="5" t="s">
        <v>27</v>
      </c>
      <c r="O232" s="5" t="s">
        <v>48</v>
      </c>
      <c r="S232" s="6"/>
      <c r="T232" s="6"/>
      <c r="U232" s="6"/>
      <c r="V232" s="6"/>
      <c r="W232" s="6"/>
      <c r="X232" s="6"/>
    </row>
    <row r="233">
      <c r="A233" s="1" t="str">
        <f>IFERROR(__xludf.DUMMYFUNCTION("""COMPUTED_VALUE"""),"2410-330")</f>
        <v>2410-330</v>
      </c>
      <c r="B233" s="1" t="str">
        <f>IFERROR(__xludf.DUMMYFUNCTION("""COMPUTED_VALUE"""),"Zozaya-Los Angeles-Remodel")</f>
        <v>Zozaya-Los Angeles-Remodel</v>
      </c>
      <c r="C233" s="1" t="str">
        <f>IFERROR(__xludf.DUMMYFUNCTION("""COMPUTED_VALUE"""),"A008.5 Structural Engineering Corrections")</f>
        <v>A008.5 Structural Engineering Corrections</v>
      </c>
      <c r="D233" s="4">
        <f>IFERROR(__xludf.DUMMYFUNCTION("""COMPUTED_VALUE"""),938897.0)</f>
        <v>938897</v>
      </c>
      <c r="E233" s="5" t="s">
        <v>20</v>
      </c>
      <c r="F233" s="2"/>
      <c r="J233" s="2" t="s">
        <v>39</v>
      </c>
      <c r="K233" s="2" t="s">
        <v>39</v>
      </c>
      <c r="L233" s="2" t="s">
        <v>47</v>
      </c>
      <c r="M233" s="5" t="s">
        <v>48</v>
      </c>
      <c r="N233" s="5" t="s">
        <v>27</v>
      </c>
      <c r="O233" s="5" t="s">
        <v>37</v>
      </c>
      <c r="S233" s="6"/>
      <c r="T233" s="6"/>
      <c r="U233" s="6"/>
      <c r="V233" s="3">
        <v>46005.48297328704</v>
      </c>
      <c r="W233" s="3">
        <v>46005.48294990741</v>
      </c>
      <c r="X233" s="6"/>
    </row>
    <row r="234">
      <c r="A234" s="1" t="str">
        <f>IFERROR(__xludf.DUMMYFUNCTION("""COMPUTED_VALUE"""),"2410-329")</f>
        <v>2410-329</v>
      </c>
      <c r="B234" s="1" t="str">
        <f>IFERROR(__xludf.DUMMYFUNCTION("""COMPUTED_VALUE"""),"Thurmon Oceanside Daycare CUP")</f>
        <v>Thurmon Oceanside Daycare CUP</v>
      </c>
      <c r="C234" s="1" t="str">
        <f>IFERROR(__xludf.DUMMYFUNCTION("""COMPUTED_VALUE"""),"A008 Submitted - Waiting on Others")</f>
        <v>A008 Submitted - Waiting on Others</v>
      </c>
      <c r="D234" s="4">
        <f>IFERROR(__xludf.DUMMYFUNCTION("""COMPUTED_VALUE"""),936670.0)</f>
        <v>936670</v>
      </c>
      <c r="E234" s="5" t="s">
        <v>34</v>
      </c>
      <c r="J234" s="2" t="s">
        <v>32</v>
      </c>
      <c r="K234" s="2" t="s">
        <v>33</v>
      </c>
      <c r="L234" s="2" t="s">
        <v>42</v>
      </c>
      <c r="M234" s="5" t="s">
        <v>37</v>
      </c>
      <c r="N234" s="5" t="s">
        <v>48</v>
      </c>
      <c r="O234" s="5" t="s">
        <v>24</v>
      </c>
      <c r="S234" s="6"/>
      <c r="T234" s="6"/>
      <c r="U234" s="6"/>
      <c r="V234" s="6"/>
      <c r="W234" s="6"/>
      <c r="X234" s="6"/>
    </row>
    <row r="235">
      <c r="A235" s="1" t="str">
        <f>IFERROR(__xludf.DUMMYFUNCTION("""COMPUTED_VALUE"""),"2410-328")</f>
        <v>2410-328</v>
      </c>
      <c r="B235" s="1" t="str">
        <f>IFERROR(__xludf.DUMMYFUNCTION("""COMPUTED_VALUE"""),"Simons-Granada-Hills-Multi-Family-2-Adus")</f>
        <v>Simons-Granada-Hills-Multi-Family-2-Adus</v>
      </c>
      <c r="C235" s="1" t="str">
        <f>IFERROR(__xludf.DUMMYFUNCTION("""COMPUTED_VALUE"""),"Approved - Construction Phase")</f>
        <v>Approved - Construction Phase</v>
      </c>
      <c r="D235" s="4">
        <f>IFERROR(__xludf.DUMMYFUNCTION("""COMPUTED_VALUE"""),935996.0)</f>
        <v>935996</v>
      </c>
      <c r="E235" s="5" t="s">
        <v>34</v>
      </c>
      <c r="J235" s="2" t="s">
        <v>26</v>
      </c>
      <c r="K235" s="2" t="s">
        <v>35</v>
      </c>
      <c r="L235" s="2" t="s">
        <v>40</v>
      </c>
      <c r="M235" s="5" t="s">
        <v>44</v>
      </c>
      <c r="N235" s="5" t="s">
        <v>24</v>
      </c>
      <c r="O235" s="5" t="s">
        <v>37</v>
      </c>
      <c r="S235" s="6"/>
      <c r="T235" s="6"/>
      <c r="U235" s="6"/>
      <c r="V235" s="6"/>
      <c r="W235" s="6"/>
      <c r="X235" s="6"/>
    </row>
    <row r="236">
      <c r="A236" s="1" t="str">
        <f>IFERROR(__xludf.DUMMYFUNCTION("""COMPUTED_VALUE"""),"2410-327")</f>
        <v>2410-327</v>
      </c>
      <c r="B236" s="1" t="str">
        <f>IFERROR(__xludf.DUMMYFUNCTION("""COMPUTED_VALUE"""),"Gomez-Moreno-Valley-New-SFR-Plans")</f>
        <v>Gomez-Moreno-Valley-New-SFR-Plans</v>
      </c>
      <c r="C236" s="1" t="str">
        <f>IFERROR(__xludf.DUMMYFUNCTION("""COMPUTED_VALUE"""),"A009 Resubmitted")</f>
        <v>A009 Resubmitted</v>
      </c>
      <c r="D236" s="4">
        <f>IFERROR(__xludf.DUMMYFUNCTION("""COMPUTED_VALUE"""),936026.0)</f>
        <v>936026</v>
      </c>
      <c r="E236" s="5" t="s">
        <v>20</v>
      </c>
      <c r="J236" s="2" t="s">
        <v>22</v>
      </c>
      <c r="K236" s="2" t="s">
        <v>40</v>
      </c>
      <c r="L236" s="2" t="s">
        <v>36</v>
      </c>
      <c r="M236" s="2" t="s">
        <v>24</v>
      </c>
      <c r="N236" s="5" t="s">
        <v>48</v>
      </c>
      <c r="O236" s="5" t="s">
        <v>37</v>
      </c>
      <c r="S236" s="3">
        <v>46006.39335515046</v>
      </c>
      <c r="T236" s="6"/>
      <c r="U236" s="6"/>
      <c r="V236" s="6"/>
      <c r="W236" s="6"/>
      <c r="X236" s="6"/>
    </row>
    <row r="237">
      <c r="A237" s="1" t="str">
        <f>IFERROR(__xludf.DUMMYFUNCTION("""COMPUTED_VALUE"""),"2410-326")</f>
        <v>2410-326</v>
      </c>
      <c r="B237" s="1" t="str">
        <f>IFERROR(__xludf.DUMMYFUNCTION("""COMPUTED_VALUE"""),"Downey-Winchester-Patio-Permit")</f>
        <v>Downey-Winchester-Patio-Permit</v>
      </c>
      <c r="C237" s="1" t="str">
        <f>IFERROR(__xludf.DUMMYFUNCTION("""COMPUTED_VALUE"""),"Abandoned,Expired")</f>
        <v>Abandoned,Expired</v>
      </c>
      <c r="D237" s="4">
        <f>IFERROR(__xludf.DUMMYFUNCTION("""COMPUTED_VALUE"""),935240.0)</f>
        <v>935240</v>
      </c>
      <c r="E237" s="5" t="s">
        <v>34</v>
      </c>
      <c r="F237" s="2"/>
      <c r="J237" s="2" t="s">
        <v>49</v>
      </c>
      <c r="K237" s="2" t="s">
        <v>35</v>
      </c>
      <c r="L237" s="2" t="s">
        <v>35</v>
      </c>
      <c r="M237" s="5" t="s">
        <v>37</v>
      </c>
      <c r="N237" s="5" t="s">
        <v>27</v>
      </c>
      <c r="O237" s="5" t="s">
        <v>37</v>
      </c>
      <c r="S237" s="6"/>
      <c r="T237" s="6"/>
      <c r="U237" s="6"/>
      <c r="V237" s="3">
        <v>46006.06967815972</v>
      </c>
      <c r="W237" s="3">
        <v>46006.06965305556</v>
      </c>
      <c r="X237" s="6"/>
    </row>
    <row r="238">
      <c r="A238" s="1" t="str">
        <f>IFERROR(__xludf.DUMMYFUNCTION("""COMPUTED_VALUE"""),"2410-325")</f>
        <v>2410-325</v>
      </c>
      <c r="B238" s="1" t="str">
        <f>IFERROR(__xludf.DUMMYFUNCTION("""COMPUTED_VALUE"""),"CA-Canopy-Encino-Awning-Structural-Plans")</f>
        <v>CA-Canopy-Encino-Awning-Structural-Plans</v>
      </c>
      <c r="C238" s="1" t="str">
        <f>IFERROR(__xludf.DUMMYFUNCTION("""COMPUTED_VALUE"""),"Completed - Sent to Client")</f>
        <v>Completed - Sent to Client</v>
      </c>
      <c r="D238" s="4">
        <f>IFERROR(__xludf.DUMMYFUNCTION("""COMPUTED_VALUE"""),934947.0)</f>
        <v>934947</v>
      </c>
      <c r="E238" s="5" t="s">
        <v>34</v>
      </c>
      <c r="J238" s="2" t="s">
        <v>25</v>
      </c>
      <c r="K238" s="2" t="s">
        <v>33</v>
      </c>
      <c r="L238" s="2" t="s">
        <v>35</v>
      </c>
      <c r="M238" s="5" t="s">
        <v>27</v>
      </c>
      <c r="N238" s="5" t="s">
        <v>48</v>
      </c>
      <c r="O238" s="5" t="s">
        <v>37</v>
      </c>
      <c r="S238" s="6"/>
      <c r="T238" s="6"/>
      <c r="U238" s="6"/>
      <c r="V238" s="6"/>
      <c r="W238" s="6"/>
      <c r="X238" s="6"/>
    </row>
    <row r="239">
      <c r="A239" s="1" t="str">
        <f>IFERROR(__xludf.DUMMYFUNCTION("""COMPUTED_VALUE"""),"2410-324")</f>
        <v>2410-324</v>
      </c>
      <c r="B239" s="1" t="str">
        <f>IFERROR(__xludf.DUMMYFUNCTION("""COMPUTED_VALUE"""),"Hinojos-Riverside-Detached-ADU-Plans")</f>
        <v>Hinojos-Riverside-Detached-ADU-Plans</v>
      </c>
      <c r="C239" s="1" t="str">
        <f>IFERROR(__xludf.DUMMYFUNCTION("""COMPUTED_VALUE"""),"A008 Submitted - Waiting on Others")</f>
        <v>A008 Submitted - Waiting on Others</v>
      </c>
      <c r="D239" s="4">
        <f>IFERROR(__xludf.DUMMYFUNCTION("""COMPUTED_VALUE"""),934204.0)</f>
        <v>934204</v>
      </c>
      <c r="E239" s="5" t="s">
        <v>20</v>
      </c>
      <c r="F239" s="2"/>
      <c r="J239" s="2" t="s">
        <v>35</v>
      </c>
      <c r="K239" s="2" t="s">
        <v>23</v>
      </c>
      <c r="L239" s="2" t="s">
        <v>22</v>
      </c>
      <c r="M239" s="5" t="s">
        <v>37</v>
      </c>
      <c r="N239" s="5" t="s">
        <v>44</v>
      </c>
      <c r="O239" s="2" t="s">
        <v>24</v>
      </c>
      <c r="S239" s="3">
        <v>46005.52824381944</v>
      </c>
      <c r="T239" s="6"/>
      <c r="U239" s="3">
        <v>46006.378191909724</v>
      </c>
      <c r="V239" s="3">
        <v>46005.48349119213</v>
      </c>
      <c r="W239" s="3">
        <v>46005.551691053246</v>
      </c>
      <c r="X239" s="6"/>
    </row>
    <row r="240">
      <c r="A240" s="1" t="str">
        <f>IFERROR(__xludf.DUMMYFUNCTION("""COMPUTED_VALUE"""),"2410-323")</f>
        <v>2410-323</v>
      </c>
      <c r="B240" s="1" t="str">
        <f>IFERROR(__xludf.DUMMYFUNCTION("""COMPUTED_VALUE"""),"Hidden-Farm-Rancho-Cucamonga")</f>
        <v>Hidden-Farm-Rancho-Cucamonga</v>
      </c>
      <c r="C240" s="1" t="str">
        <f>IFERROR(__xludf.DUMMYFUNCTION("""COMPUTED_VALUE"""),"Abandoned,Expired")</f>
        <v>Abandoned,Expired</v>
      </c>
      <c r="D240" s="4">
        <f>IFERROR(__xludf.DUMMYFUNCTION("""COMPUTED_VALUE"""),934194.0)</f>
        <v>934194</v>
      </c>
      <c r="E240" s="5" t="s">
        <v>20</v>
      </c>
      <c r="J240" s="2" t="s">
        <v>32</v>
      </c>
      <c r="K240" s="2" t="s">
        <v>43</v>
      </c>
      <c r="L240" s="2" t="s">
        <v>32</v>
      </c>
      <c r="M240" s="5" t="s">
        <v>24</v>
      </c>
      <c r="N240" s="5" t="s">
        <v>27</v>
      </c>
      <c r="O240" s="5" t="s">
        <v>37</v>
      </c>
      <c r="S240" s="6"/>
      <c r="T240" s="6"/>
      <c r="U240" s="6"/>
      <c r="V240" s="6"/>
      <c r="W240" s="6"/>
      <c r="X240" s="6"/>
    </row>
    <row r="241">
      <c r="A241" s="1" t="str">
        <f>IFERROR(__xludf.DUMMYFUNCTION("""COMPUTED_VALUE"""),"2410-322")</f>
        <v>2410-322</v>
      </c>
      <c r="B241" s="1" t="str">
        <f>IFERROR(__xludf.DUMMYFUNCTION("""COMPUTED_VALUE"""),"Munoz-Great White Label-CUP")</f>
        <v>Munoz-Great White Label-CUP</v>
      </c>
      <c r="C241" s="1" t="str">
        <f>IFERROR(__xludf.DUMMYFUNCTION("""COMPUTED_VALUE"""),"Abandoned,Expired")</f>
        <v>Abandoned,Expired</v>
      </c>
      <c r="D241" s="4">
        <f>IFERROR(__xludf.DUMMYFUNCTION("""COMPUTED_VALUE"""),929555.0)</f>
        <v>929555</v>
      </c>
      <c r="E241" s="5" t="s">
        <v>20</v>
      </c>
      <c r="F241" s="2"/>
      <c r="J241" s="2" t="s">
        <v>35</v>
      </c>
      <c r="K241" s="2" t="s">
        <v>36</v>
      </c>
      <c r="L241" s="2" t="s">
        <v>47</v>
      </c>
      <c r="M241" s="5" t="s">
        <v>44</v>
      </c>
      <c r="N241" s="5" t="s">
        <v>44</v>
      </c>
      <c r="O241" s="5" t="s">
        <v>44</v>
      </c>
      <c r="S241" s="3">
        <v>46005.498161296295</v>
      </c>
      <c r="T241" s="6"/>
      <c r="U241" s="6"/>
      <c r="V241" s="3">
        <v>46005.48381002314</v>
      </c>
      <c r="W241" s="3">
        <v>46005.4837868287</v>
      </c>
      <c r="X241" s="6"/>
    </row>
    <row r="242">
      <c r="A242" s="1" t="str">
        <f>IFERROR(__xludf.DUMMYFUNCTION("""COMPUTED_VALUE"""),"2410-321")</f>
        <v>2410-321</v>
      </c>
      <c r="B242" s="1" t="str">
        <f>IFERROR(__xludf.DUMMYFUNCTION("""COMPUTED_VALUE"""),"Brikho-La-Mesa-Retaining-Wall-Landscape-Plans")</f>
        <v>Brikho-La-Mesa-Retaining-Wall-Landscape-Plans</v>
      </c>
      <c r="C242" s="1" t="str">
        <f>IFERROR(__xludf.DUMMYFUNCTION("""COMPUTED_VALUE"""),"Abandoned,Expired")</f>
        <v>Abandoned,Expired</v>
      </c>
      <c r="D242" s="4">
        <f>IFERROR(__xludf.DUMMYFUNCTION("""COMPUTED_VALUE"""),930355.0)</f>
        <v>930355</v>
      </c>
      <c r="E242" s="5" t="s">
        <v>34</v>
      </c>
      <c r="J242" s="2" t="s">
        <v>47</v>
      </c>
      <c r="K242" s="2" t="s">
        <v>22</v>
      </c>
      <c r="L242" s="2" t="s">
        <v>22</v>
      </c>
      <c r="M242" s="5" t="s">
        <v>24</v>
      </c>
      <c r="N242" s="5" t="s">
        <v>27</v>
      </c>
      <c r="O242" s="5" t="s">
        <v>48</v>
      </c>
      <c r="S242" s="6"/>
      <c r="T242" s="6"/>
      <c r="U242" s="6"/>
      <c r="V242" s="6"/>
      <c r="W242" s="6"/>
      <c r="X242" s="6"/>
    </row>
    <row r="243">
      <c r="A243" s="1" t="str">
        <f>IFERROR(__xludf.DUMMYFUNCTION("""COMPUTED_VALUE"""),"2410-320")</f>
        <v>2410-320</v>
      </c>
      <c r="B243" s="1" t="str">
        <f>IFERROR(__xludf.DUMMYFUNCTION("""COMPUTED_VALUE"""),"Lynch-Arrowhead-Basement-ADU-Deck-Parking-Pad")</f>
        <v>Lynch-Arrowhead-Basement-ADU-Deck-Parking-Pad</v>
      </c>
      <c r="C243" s="1" t="str">
        <f>IFERROR(__xludf.DUMMYFUNCTION("""COMPUTED_VALUE"""),"Approved - Construction Phase")</f>
        <v>Approved - Construction Phase</v>
      </c>
      <c r="D243" s="4">
        <f>IFERROR(__xludf.DUMMYFUNCTION("""COMPUTED_VALUE"""),929464.0)</f>
        <v>929464</v>
      </c>
      <c r="E243" s="5" t="s">
        <v>20</v>
      </c>
      <c r="F243" s="2"/>
      <c r="J243" s="2" t="s">
        <v>39</v>
      </c>
      <c r="K243" s="2" t="s">
        <v>43</v>
      </c>
      <c r="L243" s="2" t="s">
        <v>33</v>
      </c>
      <c r="M243" s="5" t="s">
        <v>27</v>
      </c>
      <c r="N243" s="5" t="s">
        <v>44</v>
      </c>
      <c r="O243" s="5" t="s">
        <v>44</v>
      </c>
      <c r="S243" s="3">
        <v>46006.02199006944</v>
      </c>
      <c r="T243" s="6"/>
      <c r="U243" s="6"/>
      <c r="V243" s="3">
        <v>46005.49569541667</v>
      </c>
      <c r="W243" s="3">
        <v>46005.4957567824</v>
      </c>
      <c r="X243" s="6"/>
    </row>
    <row r="244">
      <c r="A244" s="1" t="str">
        <f>IFERROR(__xludf.DUMMYFUNCTION("""COMPUTED_VALUE"""),"2410-319")</f>
        <v>2410-319</v>
      </c>
      <c r="B244" s="1" t="str">
        <f>IFERROR(__xludf.DUMMYFUNCTION("""COMPUTED_VALUE"""),"Reilly-Fullerton-ADU")</f>
        <v>Reilly-Fullerton-ADU</v>
      </c>
      <c r="C244" s="1" t="str">
        <f>IFERROR(__xludf.DUMMYFUNCTION("""COMPUTED_VALUE"""),"Paused - Stalled by 3rd Party")</f>
        <v>Paused - Stalled by 3rd Party</v>
      </c>
      <c r="D244" s="4">
        <f>IFERROR(__xludf.DUMMYFUNCTION("""COMPUTED_VALUE"""),927376.0)</f>
        <v>927376</v>
      </c>
      <c r="E244" s="5" t="s">
        <v>20</v>
      </c>
      <c r="J244" s="2" t="s">
        <v>23</v>
      </c>
      <c r="K244" s="2" t="s">
        <v>36</v>
      </c>
      <c r="L244" s="2" t="s">
        <v>33</v>
      </c>
      <c r="M244" s="5" t="s">
        <v>44</v>
      </c>
      <c r="N244" s="5" t="s">
        <v>37</v>
      </c>
      <c r="O244" s="5" t="s">
        <v>48</v>
      </c>
      <c r="S244" s="6"/>
      <c r="T244" s="6"/>
      <c r="U244" s="6"/>
      <c r="V244" s="6"/>
      <c r="W244" s="6"/>
      <c r="X244" s="6"/>
    </row>
    <row r="245">
      <c r="A245" s="1" t="str">
        <f>IFERROR(__xludf.DUMMYFUNCTION("""COMPUTED_VALUE"""),"2410-318")</f>
        <v>2410-318</v>
      </c>
      <c r="B245" s="1" t="str">
        <f>IFERROR(__xludf.DUMMYFUNCTION("""COMPUTED_VALUE"""),"Santos-Tustin-Storage")</f>
        <v>Santos-Tustin-Storage</v>
      </c>
      <c r="C245" s="1" t="str">
        <f>IFERROR(__xludf.DUMMYFUNCTION("""COMPUTED_VALUE"""),"Approved - Construction Phase")</f>
        <v>Approved - Construction Phase</v>
      </c>
      <c r="D245" s="4">
        <f>IFERROR(__xludf.DUMMYFUNCTION("""COMPUTED_VALUE"""),927397.0)</f>
        <v>927397</v>
      </c>
      <c r="E245" s="5" t="s">
        <v>34</v>
      </c>
      <c r="J245" s="2" t="s">
        <v>42</v>
      </c>
      <c r="K245" s="2" t="s">
        <v>25</v>
      </c>
      <c r="L245" s="2" t="s">
        <v>33</v>
      </c>
      <c r="M245" s="5" t="s">
        <v>27</v>
      </c>
      <c r="N245" s="5" t="s">
        <v>37</v>
      </c>
      <c r="O245" s="5" t="s">
        <v>48</v>
      </c>
      <c r="S245" s="6"/>
      <c r="T245" s="6"/>
      <c r="U245" s="6"/>
      <c r="V245" s="6"/>
      <c r="W245" s="6"/>
      <c r="X245" s="6"/>
    </row>
    <row r="246">
      <c r="A246" s="1" t="str">
        <f>IFERROR(__xludf.DUMMYFUNCTION("""COMPUTED_VALUE"""),"2410-317")</f>
        <v>2410-317</v>
      </c>
      <c r="B246" s="1" t="str">
        <f>IFERROR(__xludf.DUMMYFUNCTION("""COMPUTED_VALUE"""),"Cornejo-Hemet-Development-Study")</f>
        <v>Cornejo-Hemet-Development-Study</v>
      </c>
      <c r="C246" s="1" t="str">
        <f>IFERROR(__xludf.DUMMYFUNCTION("""COMPUTED_VALUE"""),"Abandoned,Expired")</f>
        <v>Abandoned,Expired</v>
      </c>
      <c r="D246" s="4">
        <f>IFERROR(__xludf.DUMMYFUNCTION("""COMPUTED_VALUE"""),930337.0)</f>
        <v>930337</v>
      </c>
      <c r="E246" s="5" t="s">
        <v>20</v>
      </c>
      <c r="J246" s="2" t="s">
        <v>33</v>
      </c>
      <c r="K246" s="2" t="s">
        <v>49</v>
      </c>
      <c r="L246" s="2" t="s">
        <v>49</v>
      </c>
      <c r="M246" s="5" t="s">
        <v>24</v>
      </c>
      <c r="N246" s="5" t="s">
        <v>24</v>
      </c>
      <c r="O246" s="5" t="s">
        <v>24</v>
      </c>
      <c r="S246" s="6"/>
      <c r="T246" s="6"/>
      <c r="U246" s="6"/>
      <c r="V246" s="6"/>
      <c r="W246" s="6"/>
      <c r="X246" s="6"/>
    </row>
    <row r="247">
      <c r="A247" s="1" t="str">
        <f>IFERROR(__xludf.DUMMYFUNCTION("""COMPUTED_VALUE"""),"2410-316")</f>
        <v>2410-316</v>
      </c>
      <c r="B247" s="1" t="str">
        <f>IFERROR(__xludf.DUMMYFUNCTION("""COMPUTED_VALUE"""),"Dikkers-LA-Elevated Studio")</f>
        <v>Dikkers-LA-Elevated Studio</v>
      </c>
      <c r="C247" s="1" t="str">
        <f>IFERROR(__xludf.DUMMYFUNCTION("""COMPUTED_VALUE"""),"A008.6 Arch Packaging Re-Submittal")</f>
        <v>A008.6 Arch Packaging Re-Submittal</v>
      </c>
      <c r="D247" s="4">
        <f>IFERROR(__xludf.DUMMYFUNCTION("""COMPUTED_VALUE"""),927745.0)</f>
        <v>927745</v>
      </c>
      <c r="E247" s="5" t="s">
        <v>20</v>
      </c>
      <c r="J247" s="2" t="s">
        <v>32</v>
      </c>
      <c r="K247" s="2" t="s">
        <v>26</v>
      </c>
      <c r="L247" s="2" t="s">
        <v>35</v>
      </c>
      <c r="M247" s="5" t="s">
        <v>48</v>
      </c>
      <c r="N247" s="5" t="s">
        <v>37</v>
      </c>
      <c r="O247" s="5" t="s">
        <v>27</v>
      </c>
      <c r="S247" s="6"/>
      <c r="T247" s="6"/>
      <c r="U247" s="6"/>
      <c r="V247" s="6"/>
      <c r="W247" s="6"/>
      <c r="X247" s="6"/>
    </row>
    <row r="248">
      <c r="A248" s="1" t="str">
        <f>IFERROR(__xludf.DUMMYFUNCTION("""COMPUTED_VALUE"""),"2410-315")</f>
        <v>2410-315</v>
      </c>
      <c r="B248" s="1" t="str">
        <f>IFERROR(__xludf.DUMMYFUNCTION("""COMPUTED_VALUE"""),"Dennys-Lakewood-TI-Crash Repairs")</f>
        <v>Dennys-Lakewood-TI-Crash Repairs</v>
      </c>
      <c r="C248" s="1" t="str">
        <f>IFERROR(__xludf.DUMMYFUNCTION("""COMPUTED_VALUE"""),"Abandoned,Expired")</f>
        <v>Abandoned,Expired</v>
      </c>
      <c r="D248" s="4">
        <f>IFERROR(__xludf.DUMMYFUNCTION("""COMPUTED_VALUE"""),928815.0)</f>
        <v>928815</v>
      </c>
      <c r="E248" s="5" t="s">
        <v>34</v>
      </c>
      <c r="J248" s="2" t="s">
        <v>49</v>
      </c>
      <c r="K248" s="2" t="s">
        <v>22</v>
      </c>
      <c r="L248" s="2" t="s">
        <v>33</v>
      </c>
      <c r="M248" s="5" t="s">
        <v>37</v>
      </c>
      <c r="N248" s="5" t="s">
        <v>48</v>
      </c>
      <c r="O248" s="5" t="s">
        <v>24</v>
      </c>
      <c r="S248" s="6"/>
      <c r="T248" s="6"/>
      <c r="U248" s="6"/>
      <c r="V248" s="6"/>
      <c r="W248" s="6"/>
      <c r="X248" s="6"/>
    </row>
    <row r="249">
      <c r="A249" s="1" t="str">
        <f>IFERROR(__xludf.DUMMYFUNCTION("""COMPUTED_VALUE"""),"2410-314")</f>
        <v>2410-314</v>
      </c>
      <c r="B249" s="1" t="str">
        <f>IFERROR(__xludf.DUMMYFUNCTION("""COMPUTED_VALUE"""),"Gurney-RPV-Remodel-Addition-ADU")</f>
        <v>Gurney-RPV-Remodel-Addition-ADU</v>
      </c>
      <c r="C249" s="1" t="str">
        <f>IFERROR(__xludf.DUMMYFUNCTION("""COMPUTED_VALUE"""),"A008 Submitted - Waiting on Others")</f>
        <v>A008 Submitted - Waiting on Others</v>
      </c>
      <c r="D249" s="4">
        <f>IFERROR(__xludf.DUMMYFUNCTION("""COMPUTED_VALUE"""),918685.0)</f>
        <v>918685</v>
      </c>
      <c r="E249" s="5" t="s">
        <v>34</v>
      </c>
      <c r="F249" s="2"/>
      <c r="J249" s="2" t="s">
        <v>25</v>
      </c>
      <c r="K249" s="2" t="s">
        <v>51</v>
      </c>
      <c r="L249" s="2" t="s">
        <v>36</v>
      </c>
      <c r="M249" s="5" t="s">
        <v>27</v>
      </c>
      <c r="N249" s="5" t="s">
        <v>24</v>
      </c>
      <c r="O249" s="5" t="s">
        <v>48</v>
      </c>
      <c r="S249" s="3">
        <v>46006.05668792824</v>
      </c>
      <c r="T249" s="6"/>
      <c r="U249" s="6"/>
      <c r="V249" s="3">
        <v>46006.03800730324</v>
      </c>
      <c r="W249" s="3">
        <v>46005.49644159722</v>
      </c>
      <c r="X249" s="6"/>
    </row>
    <row r="250">
      <c r="A250" s="1" t="str">
        <f>IFERROR(__xludf.DUMMYFUNCTION("""COMPUTED_VALUE"""),"2410-313")</f>
        <v>2410-313</v>
      </c>
      <c r="B250" s="1" t="str">
        <f>IFERROR(__xludf.DUMMYFUNCTION("""COMPUTED_VALUE"""),"Kikos-Highland-TI Plans")</f>
        <v>Kikos-Highland-TI Plans</v>
      </c>
      <c r="C250" s="1" t="str">
        <f>IFERROR(__xludf.DUMMYFUNCTION("""COMPUTED_VALUE"""),"Approved - Construction Phase")</f>
        <v>Approved - Construction Phase</v>
      </c>
      <c r="D250" s="4">
        <f>IFERROR(__xludf.DUMMYFUNCTION("""COMPUTED_VALUE"""),917717.0)</f>
        <v>917717</v>
      </c>
      <c r="E250" s="5" t="s">
        <v>34</v>
      </c>
      <c r="J250" s="2" t="s">
        <v>51</v>
      </c>
      <c r="K250" s="2" t="s">
        <v>51</v>
      </c>
      <c r="L250" s="2" t="s">
        <v>39</v>
      </c>
      <c r="M250" s="5" t="s">
        <v>27</v>
      </c>
      <c r="N250" s="5" t="s">
        <v>24</v>
      </c>
      <c r="O250" s="5" t="s">
        <v>24</v>
      </c>
      <c r="S250" s="6"/>
      <c r="T250" s="6"/>
      <c r="U250" s="6"/>
      <c r="V250" s="6"/>
      <c r="W250" s="6"/>
      <c r="X250" s="6"/>
    </row>
    <row r="251">
      <c r="A251" s="1" t="str">
        <f>IFERROR(__xludf.DUMMYFUNCTION("""COMPUTED_VALUE"""),"2410-312")</f>
        <v>2410-312</v>
      </c>
      <c r="B251" s="1" t="str">
        <f>IFERROR(__xludf.DUMMYFUNCTION("""COMPUTED_VALUE"""),"Zelenay-Sherman Oaks-Remodel")</f>
        <v>Zelenay-Sherman Oaks-Remodel</v>
      </c>
      <c r="C251" s="1" t="str">
        <f>IFERROR(__xludf.DUMMYFUNCTION("""COMPUTED_VALUE"""),"A008.5 Structural Engineering Corrections")</f>
        <v>A008.5 Structural Engineering Corrections</v>
      </c>
      <c r="D251" s="4">
        <f>IFERROR(__xludf.DUMMYFUNCTION("""COMPUTED_VALUE"""),916698.0)</f>
        <v>916698</v>
      </c>
      <c r="E251" s="5" t="s">
        <v>20</v>
      </c>
      <c r="F251" s="2"/>
      <c r="J251" s="2" t="s">
        <v>26</v>
      </c>
      <c r="K251" s="2" t="s">
        <v>23</v>
      </c>
      <c r="L251" s="2" t="s">
        <v>35</v>
      </c>
      <c r="M251" s="5" t="s">
        <v>24</v>
      </c>
      <c r="N251" s="5" t="s">
        <v>24</v>
      </c>
      <c r="O251" s="5" t="s">
        <v>24</v>
      </c>
      <c r="S251" s="3">
        <v>46005.5136158449</v>
      </c>
      <c r="T251" s="6"/>
      <c r="U251" s="6"/>
      <c r="V251" s="3">
        <v>46005.4841815625</v>
      </c>
      <c r="W251" s="3">
        <v>46005.55089265046</v>
      </c>
      <c r="X251" s="6"/>
    </row>
    <row r="252">
      <c r="A252" s="1" t="str">
        <f>IFERROR(__xludf.DUMMYFUNCTION("""COMPUTED_VALUE"""),"2410-311")</f>
        <v>2410-311</v>
      </c>
      <c r="B252" s="1" t="str">
        <f>IFERROR(__xludf.DUMMYFUNCTION("""COMPUTED_VALUE"""),"Neufeld-Newport-Room over Garage")</f>
        <v>Neufeld-Newport-Room over Garage</v>
      </c>
      <c r="C252" s="1" t="str">
        <f>IFERROR(__xludf.DUMMYFUNCTION("""COMPUTED_VALUE"""),"Abandoned,Expired")</f>
        <v>Abandoned,Expired</v>
      </c>
      <c r="D252" s="4">
        <f>IFERROR(__xludf.DUMMYFUNCTION("""COMPUTED_VALUE"""),916747.0)</f>
        <v>916747</v>
      </c>
      <c r="E252" s="5" t="s">
        <v>20</v>
      </c>
      <c r="J252" s="2" t="s">
        <v>26</v>
      </c>
      <c r="K252" s="2" t="s">
        <v>25</v>
      </c>
      <c r="L252" s="2" t="s">
        <v>32</v>
      </c>
      <c r="M252" s="5" t="s">
        <v>27</v>
      </c>
      <c r="N252" s="5" t="s">
        <v>44</v>
      </c>
      <c r="O252" s="5" t="s">
        <v>24</v>
      </c>
      <c r="S252" s="6"/>
      <c r="T252" s="6"/>
      <c r="U252" s="6"/>
      <c r="V252" s="6"/>
      <c r="W252" s="6"/>
      <c r="X252" s="6"/>
    </row>
    <row r="253">
      <c r="A253" s="1" t="str">
        <f>IFERROR(__xludf.DUMMYFUNCTION("""COMPUTED_VALUE"""),"2410-310")</f>
        <v>2410-310</v>
      </c>
      <c r="B253" s="1" t="str">
        <f>IFERROR(__xludf.DUMMYFUNCTION("""COMPUTED_VALUE"""),"Coseo-Rice-Carlsbad-Remodel")</f>
        <v>Coseo-Rice-Carlsbad-Remodel</v>
      </c>
      <c r="C253" s="1" t="str">
        <f>IFERROR(__xludf.DUMMYFUNCTION("""COMPUTED_VALUE"""),"Abandoned,Expired")</f>
        <v>Abandoned,Expired</v>
      </c>
      <c r="D253" s="4">
        <f>IFERROR(__xludf.DUMMYFUNCTION("""COMPUTED_VALUE"""),916462.0)</f>
        <v>916462</v>
      </c>
      <c r="E253" s="5" t="s">
        <v>34</v>
      </c>
      <c r="F253" s="2"/>
      <c r="J253" s="2" t="s">
        <v>49</v>
      </c>
      <c r="K253" s="2" t="s">
        <v>49</v>
      </c>
      <c r="L253" s="2" t="s">
        <v>42</v>
      </c>
      <c r="M253" s="5" t="s">
        <v>27</v>
      </c>
      <c r="N253" s="5" t="s">
        <v>44</v>
      </c>
      <c r="O253" s="5" t="s">
        <v>27</v>
      </c>
      <c r="S253" s="6"/>
      <c r="T253" s="6"/>
      <c r="U253" s="6"/>
      <c r="V253" s="3">
        <v>46006.01530590278</v>
      </c>
      <c r="W253" s="3">
        <v>46005.56396809028</v>
      </c>
      <c r="X253" s="6"/>
    </row>
    <row r="254">
      <c r="A254" s="1" t="str">
        <f>IFERROR(__xludf.DUMMYFUNCTION("""COMPUTED_VALUE"""),"2410-150")</f>
        <v>2410-150</v>
      </c>
      <c r="B254" s="1" t="str">
        <f>IFERROR(__xludf.DUMMYFUNCTION("""COMPUTED_VALUE"""),"PSG Small Jobs")</f>
        <v>PSG Small Jobs</v>
      </c>
      <c r="C254" s="1" t="str">
        <f>IFERROR(__xludf.DUMMYFUNCTION("""COMPUTED_VALUE"""),"A001 Estimate, Proposal &amp; Project Data")</f>
        <v>A001 Estimate, Proposal &amp; Project Data</v>
      </c>
      <c r="D254" s="4">
        <f>IFERROR(__xludf.DUMMYFUNCTION("""COMPUTED_VALUE"""),908644.0)</f>
        <v>908644</v>
      </c>
      <c r="E254" s="5" t="s">
        <v>20</v>
      </c>
      <c r="J254" s="2" t="s">
        <v>32</v>
      </c>
      <c r="K254" s="2" t="s">
        <v>47</v>
      </c>
      <c r="L254" s="2" t="s">
        <v>42</v>
      </c>
      <c r="M254" s="5" t="s">
        <v>27</v>
      </c>
      <c r="N254" s="5" t="s">
        <v>27</v>
      </c>
      <c r="O254" s="5" t="s">
        <v>37</v>
      </c>
      <c r="S254" s="6"/>
      <c r="T254" s="6"/>
      <c r="U254" s="6"/>
      <c r="V254" s="6"/>
      <c r="W254" s="6"/>
      <c r="X254" s="6"/>
    </row>
    <row r="255">
      <c r="A255" s="1" t="str">
        <f>IFERROR(__xludf.DUMMYFUNCTION("""COMPUTED_VALUE"""),"2410-105")</f>
        <v>2410-105</v>
      </c>
      <c r="B255" s="1" t="str">
        <f>IFERROR(__xludf.DUMMYFUNCTION("""COMPUTED_VALUE"""),"Jason Pan As-Built Scan")</f>
        <v>Jason Pan As-Built Scan</v>
      </c>
      <c r="C255" s="1" t="str">
        <f>IFERROR(__xludf.DUMMYFUNCTION("""COMPUTED_VALUE"""),"Approved - Construction Phase")</f>
        <v>Approved - Construction Phase</v>
      </c>
      <c r="D255" s="4">
        <f>IFERROR(__xludf.DUMMYFUNCTION("""COMPUTED_VALUE"""),935350.0)</f>
        <v>935350</v>
      </c>
      <c r="E255" s="5" t="s">
        <v>34</v>
      </c>
      <c r="F255" s="2"/>
      <c r="J255" s="2" t="s">
        <v>49</v>
      </c>
      <c r="K255" s="2" t="s">
        <v>35</v>
      </c>
      <c r="L255" s="2" t="s">
        <v>47</v>
      </c>
      <c r="M255" s="5" t="s">
        <v>48</v>
      </c>
      <c r="N255" s="5" t="s">
        <v>48</v>
      </c>
      <c r="O255" s="5" t="s">
        <v>44</v>
      </c>
      <c r="S255" s="6"/>
      <c r="T255" s="6"/>
      <c r="U255" s="6"/>
      <c r="V255" s="3">
        <v>46005.48548025463</v>
      </c>
      <c r="W255" s="3">
        <v>46005.48547215278</v>
      </c>
      <c r="X255" s="6"/>
    </row>
    <row r="256">
      <c r="A256" s="1" t="str">
        <f>IFERROR(__xludf.DUMMYFUNCTION("""COMPUTED_VALUE"""),"2410-104")</f>
        <v>2410-104</v>
      </c>
      <c r="B256" s="1" t="str">
        <f>IFERROR(__xludf.DUMMYFUNCTION("""COMPUTED_VALUE"""),"Darhooneh-Multi-Family-Plan Review")</f>
        <v>Darhooneh-Multi-Family-Plan Review</v>
      </c>
      <c r="C256" s="1" t="str">
        <f>IFERROR(__xludf.DUMMYFUNCTION("""COMPUTED_VALUE"""),"Completed - Sent to Client")</f>
        <v>Completed - Sent to Client</v>
      </c>
      <c r="D256" s="4">
        <f>IFERROR(__xludf.DUMMYFUNCTION("""COMPUTED_VALUE"""),916733.0)</f>
        <v>916733</v>
      </c>
      <c r="E256" s="5" t="s">
        <v>20</v>
      </c>
      <c r="J256" s="2" t="s">
        <v>26</v>
      </c>
      <c r="K256" s="2" t="s">
        <v>40</v>
      </c>
      <c r="L256" s="2" t="s">
        <v>35</v>
      </c>
      <c r="M256" s="5" t="s">
        <v>37</v>
      </c>
      <c r="N256" s="5" t="s">
        <v>48</v>
      </c>
      <c r="O256" s="5" t="s">
        <v>24</v>
      </c>
      <c r="S256" s="6"/>
      <c r="T256" s="6"/>
      <c r="U256" s="6"/>
      <c r="V256" s="6"/>
      <c r="W256" s="6"/>
      <c r="X256" s="6"/>
    </row>
    <row r="257">
      <c r="A257" s="1" t="str">
        <f>IFERROR(__xludf.DUMMYFUNCTION("""COMPUTED_VALUE"""),"2410-102")</f>
        <v>2410-102</v>
      </c>
      <c r="B257" s="1" t="str">
        <f>IFERROR(__xludf.DUMMYFUNCTION("""COMPUTED_VALUE"""),"Burlington Coat Structural Observation")</f>
        <v>Burlington Coat Structural Observation</v>
      </c>
      <c r="C257" s="1" t="str">
        <f>IFERROR(__xludf.DUMMYFUNCTION("""COMPUTED_VALUE"""),"Approved - Construction Phase")</f>
        <v>Approved - Construction Phase</v>
      </c>
      <c r="D257" s="4">
        <f>IFERROR(__xludf.DUMMYFUNCTION("""COMPUTED_VALUE"""),935354.0)</f>
        <v>935354</v>
      </c>
      <c r="E257" s="5" t="s">
        <v>20</v>
      </c>
      <c r="F257" s="2"/>
      <c r="J257" s="2" t="s">
        <v>36</v>
      </c>
      <c r="K257" s="2" t="s">
        <v>42</v>
      </c>
      <c r="L257" s="2" t="s">
        <v>50</v>
      </c>
      <c r="M257" s="5" t="s">
        <v>24</v>
      </c>
      <c r="N257" s="5" t="s">
        <v>27</v>
      </c>
      <c r="O257" s="5" t="s">
        <v>37</v>
      </c>
      <c r="S257" s="6"/>
      <c r="T257" s="6"/>
      <c r="U257" s="6"/>
      <c r="V257" s="3">
        <v>46005.49749847222</v>
      </c>
      <c r="W257" s="3">
        <v>46005.49747996528</v>
      </c>
      <c r="X257" s="6"/>
    </row>
    <row r="258">
      <c r="A258" s="1" t="str">
        <f>IFERROR(__xludf.DUMMYFUNCTION("""COMPUTED_VALUE"""),"2410-101")</f>
        <v>2410-101</v>
      </c>
      <c r="B258" s="1" t="str">
        <f>IFERROR(__xludf.DUMMYFUNCTION("""COMPUTED_VALUE"""),"Weiner As-Built Plan")</f>
        <v>Weiner As-Built Plan</v>
      </c>
      <c r="C258" s="1" t="str">
        <f>IFERROR(__xludf.DUMMYFUNCTION("""COMPUTED_VALUE"""),"Completed - Sent to Client")</f>
        <v>Completed - Sent to Client</v>
      </c>
      <c r="D258" s="4">
        <f>IFERROR(__xludf.DUMMYFUNCTION("""COMPUTED_VALUE"""),935353.0)</f>
        <v>935353</v>
      </c>
      <c r="E258" s="5" t="s">
        <v>34</v>
      </c>
      <c r="J258" s="2" t="s">
        <v>22</v>
      </c>
      <c r="K258" s="2" t="s">
        <v>35</v>
      </c>
      <c r="L258" s="2" t="s">
        <v>22</v>
      </c>
      <c r="M258" s="2" t="s">
        <v>54</v>
      </c>
      <c r="N258" s="5" t="s">
        <v>37</v>
      </c>
      <c r="O258" s="5" t="s">
        <v>37</v>
      </c>
      <c r="S258" s="3">
        <v>46006.39319667824</v>
      </c>
      <c r="T258" s="6"/>
      <c r="U258" s="6"/>
      <c r="V258" s="6"/>
      <c r="W258" s="6"/>
      <c r="X258" s="6"/>
    </row>
    <row r="259">
      <c r="A259" s="1" t="str">
        <f>IFERROR(__xludf.DUMMYFUNCTION("""COMPUTED_VALUE"""),"2409-309")</f>
        <v>2409-309</v>
      </c>
      <c r="B259" s="1" t="str">
        <f>IFERROR(__xludf.DUMMYFUNCTION("""COMPUTED_VALUE"""),"Bertotti-Riverside-Garage-ADU-Permitting")</f>
        <v>Bertotti-Riverside-Garage-ADU-Permitting</v>
      </c>
      <c r="C259" s="1" t="str">
        <f>IFERROR(__xludf.DUMMYFUNCTION("""COMPUTED_VALUE"""),"Abandoned,Expired")</f>
        <v>Abandoned,Expired</v>
      </c>
      <c r="D259" s="4">
        <f>IFERROR(__xludf.DUMMYFUNCTION("""COMPUTED_VALUE"""),915194.0)</f>
        <v>915194</v>
      </c>
      <c r="E259" s="5" t="s">
        <v>34</v>
      </c>
      <c r="J259" s="2" t="s">
        <v>47</v>
      </c>
      <c r="K259" s="2" t="s">
        <v>25</v>
      </c>
      <c r="L259" s="2" t="s">
        <v>51</v>
      </c>
      <c r="M259" s="5" t="s">
        <v>48</v>
      </c>
      <c r="N259" s="5" t="s">
        <v>48</v>
      </c>
      <c r="O259" s="5" t="s">
        <v>37</v>
      </c>
      <c r="S259" s="6"/>
      <c r="T259" s="6"/>
      <c r="U259" s="6"/>
      <c r="V259" s="6"/>
      <c r="W259" s="6"/>
      <c r="X259" s="6"/>
    </row>
    <row r="260">
      <c r="A260" s="1" t="str">
        <f>IFERROR(__xludf.DUMMYFUNCTION("""COMPUTED_VALUE"""),"2409-308")</f>
        <v>2409-308</v>
      </c>
      <c r="B260" s="1" t="str">
        <f>IFERROR(__xludf.DUMMYFUNCTION("""COMPUTED_VALUE"""),"Naran-LA-Remodel-Addition-Deck-ADU")</f>
        <v>Naran-LA-Remodel-Addition-Deck-ADU</v>
      </c>
      <c r="C260" s="1" t="str">
        <f>IFERROR(__xludf.DUMMYFUNCTION("""COMPUTED_VALUE"""),"A007 Plan Detailing for Submittal")</f>
        <v>A007 Plan Detailing for Submittal</v>
      </c>
      <c r="D260" s="4">
        <f>IFERROR(__xludf.DUMMYFUNCTION("""COMPUTED_VALUE"""),914583.0)</f>
        <v>914583</v>
      </c>
      <c r="E260" s="5" t="s">
        <v>34</v>
      </c>
      <c r="J260" s="2" t="s">
        <v>35</v>
      </c>
      <c r="K260" s="2" t="s">
        <v>36</v>
      </c>
      <c r="L260" s="2" t="s">
        <v>43</v>
      </c>
      <c r="M260" s="5" t="s">
        <v>44</v>
      </c>
      <c r="N260" s="5" t="s">
        <v>24</v>
      </c>
      <c r="O260" s="5" t="s">
        <v>44</v>
      </c>
      <c r="S260" s="6"/>
      <c r="T260" s="6"/>
      <c r="U260" s="6"/>
      <c r="V260" s="6"/>
      <c r="W260" s="6"/>
      <c r="X260" s="6"/>
    </row>
    <row r="261">
      <c r="A261" s="1" t="str">
        <f>IFERROR(__xludf.DUMMYFUNCTION("""COMPUTED_VALUE"""),"2409-307")</f>
        <v>2409-307</v>
      </c>
      <c r="B261" s="1" t="str">
        <f>IFERROR(__xludf.DUMMYFUNCTION("""COMPUTED_VALUE"""),"Chen-Gilboa-Tujunga-New SFR")</f>
        <v>Chen-Gilboa-Tujunga-New SFR</v>
      </c>
      <c r="C261" s="1" t="str">
        <f>IFERROR(__xludf.DUMMYFUNCTION("""COMPUTED_VALUE"""),"A008 Submitted - Waiting on Others")</f>
        <v>A008 Submitted - Waiting on Others</v>
      </c>
      <c r="D261" s="4">
        <f>IFERROR(__xludf.DUMMYFUNCTION("""COMPUTED_VALUE"""),914548.0)</f>
        <v>914548</v>
      </c>
      <c r="E261" s="5" t="s">
        <v>34</v>
      </c>
      <c r="J261" s="2" t="s">
        <v>35</v>
      </c>
      <c r="K261" s="2" t="s">
        <v>26</v>
      </c>
      <c r="L261" s="2" t="s">
        <v>22</v>
      </c>
      <c r="M261" s="5" t="s">
        <v>37</v>
      </c>
      <c r="N261" s="5" t="s">
        <v>27</v>
      </c>
      <c r="O261" s="5" t="s">
        <v>24</v>
      </c>
      <c r="S261" s="6"/>
      <c r="T261" s="6"/>
      <c r="U261" s="6"/>
      <c r="V261" s="6"/>
      <c r="W261" s="6"/>
      <c r="X261" s="6"/>
    </row>
    <row r="262">
      <c r="A262" s="1" t="str">
        <f>IFERROR(__xludf.DUMMYFUNCTION("""COMPUTED_VALUE"""),"2409-306")</f>
        <v>2409-306</v>
      </c>
      <c r="B262" s="1" t="str">
        <f>IFERROR(__xludf.DUMMYFUNCTION("""COMPUTED_VALUE"""),"Silva-El-Cajon-Garage-Adu-Conversion")</f>
        <v>Silva-El-Cajon-Garage-Adu-Conversion</v>
      </c>
      <c r="C262" s="1" t="str">
        <f>IFERROR(__xludf.DUMMYFUNCTION("""COMPUTED_VALUE"""),"Approved - Construction Phase")</f>
        <v>Approved - Construction Phase</v>
      </c>
      <c r="D262" s="4">
        <f>IFERROR(__xludf.DUMMYFUNCTION("""COMPUTED_VALUE"""),912524.0)</f>
        <v>912524</v>
      </c>
      <c r="E262" s="5" t="s">
        <v>34</v>
      </c>
      <c r="J262" s="2" t="s">
        <v>33</v>
      </c>
      <c r="K262" s="2" t="s">
        <v>32</v>
      </c>
      <c r="L262" s="2" t="s">
        <v>25</v>
      </c>
      <c r="M262" s="5" t="s">
        <v>44</v>
      </c>
      <c r="N262" s="5" t="s">
        <v>27</v>
      </c>
      <c r="O262" s="5" t="s">
        <v>27</v>
      </c>
      <c r="S262" s="6"/>
      <c r="T262" s="6"/>
      <c r="U262" s="6"/>
      <c r="V262" s="6"/>
      <c r="W262" s="6"/>
      <c r="X262" s="6"/>
    </row>
    <row r="263">
      <c r="A263" s="1" t="str">
        <f>IFERROR(__xludf.DUMMYFUNCTION("""COMPUTED_VALUE"""),"2409-305")</f>
        <v>2409-305</v>
      </c>
      <c r="B263" s="1" t="str">
        <f>IFERROR(__xludf.DUMMYFUNCTION("""COMPUTED_VALUE"""),"Burr-San-Bernardino-Barn-Permitting")</f>
        <v>Burr-San-Bernardino-Barn-Permitting</v>
      </c>
      <c r="C263" s="1" t="str">
        <f>IFERROR(__xludf.DUMMYFUNCTION("""COMPUTED_VALUE"""),"A009 Resubmitted")</f>
        <v>A009 Resubmitted</v>
      </c>
      <c r="D263" s="4">
        <f>IFERROR(__xludf.DUMMYFUNCTION("""COMPUTED_VALUE"""),912523.0)</f>
        <v>912523</v>
      </c>
      <c r="E263" s="5" t="s">
        <v>34</v>
      </c>
      <c r="J263" s="2" t="s">
        <v>35</v>
      </c>
      <c r="K263" s="2" t="s">
        <v>40</v>
      </c>
      <c r="L263" s="2" t="s">
        <v>23</v>
      </c>
      <c r="M263" s="5" t="s">
        <v>27</v>
      </c>
      <c r="N263" s="5" t="s">
        <v>44</v>
      </c>
      <c r="O263" s="5" t="s">
        <v>44</v>
      </c>
      <c r="S263" s="6"/>
      <c r="T263" s="6"/>
      <c r="U263" s="3">
        <v>46005.221997361106</v>
      </c>
      <c r="V263" s="6"/>
      <c r="W263" s="6"/>
      <c r="X263" s="6"/>
    </row>
    <row r="264">
      <c r="A264" s="1" t="str">
        <f>IFERROR(__xludf.DUMMYFUNCTION("""COMPUTED_VALUE"""),"2409-304")</f>
        <v>2409-304</v>
      </c>
      <c r="B264" s="1" t="str">
        <f>IFERROR(__xludf.DUMMYFUNCTION("""COMPUTED_VALUE"""),"Ribons-West-Hills-New-SFR-&amp;-ADU-Lot-Split")</f>
        <v>Ribons-West-Hills-New-SFR-&amp;-ADU-Lot-Split</v>
      </c>
      <c r="C264" s="1" t="str">
        <f>IFERROR(__xludf.DUMMYFUNCTION("""COMPUTED_VALUE"""),"Approved - Construction Phase")</f>
        <v>Approved - Construction Phase</v>
      </c>
      <c r="D264" s="4">
        <f>IFERROR(__xludf.DUMMYFUNCTION("""COMPUTED_VALUE"""),912519.0)</f>
        <v>912519</v>
      </c>
      <c r="E264" s="5" t="s">
        <v>34</v>
      </c>
      <c r="J264" s="2" t="s">
        <v>36</v>
      </c>
      <c r="K264" s="2" t="s">
        <v>42</v>
      </c>
      <c r="L264" s="2" t="s">
        <v>49</v>
      </c>
      <c r="M264" s="5" t="s">
        <v>24</v>
      </c>
      <c r="N264" s="5" t="s">
        <v>48</v>
      </c>
      <c r="O264" s="5" t="s">
        <v>27</v>
      </c>
      <c r="S264" s="6"/>
      <c r="T264" s="6"/>
      <c r="U264" s="6"/>
      <c r="V264" s="6"/>
      <c r="W264" s="3">
        <v>46006.06945896991</v>
      </c>
      <c r="X264" s="6"/>
    </row>
    <row r="265">
      <c r="A265" s="1" t="str">
        <f>IFERROR(__xludf.DUMMYFUNCTION("""COMPUTED_VALUE"""),"2409-303")</f>
        <v>2409-303</v>
      </c>
      <c r="B265" s="1" t="str">
        <f>IFERROR(__xludf.DUMMYFUNCTION("""COMPUTED_VALUE"""),"Briggs-Palm-Desert-ADU-Conversion")</f>
        <v>Briggs-Palm-Desert-ADU-Conversion</v>
      </c>
      <c r="C265" s="1" t="str">
        <f>IFERROR(__xludf.DUMMYFUNCTION("""COMPUTED_VALUE"""),"Approved - Construction Phase")</f>
        <v>Approved - Construction Phase</v>
      </c>
      <c r="D265" s="4">
        <f>IFERROR(__xludf.DUMMYFUNCTION("""COMPUTED_VALUE"""),912511.0)</f>
        <v>912511</v>
      </c>
      <c r="E265" s="5" t="s">
        <v>34</v>
      </c>
      <c r="J265" s="2" t="s">
        <v>39</v>
      </c>
      <c r="K265" s="2" t="s">
        <v>35</v>
      </c>
      <c r="L265" s="2" t="s">
        <v>22</v>
      </c>
      <c r="M265" s="5" t="s">
        <v>24</v>
      </c>
      <c r="N265" s="5" t="s">
        <v>48</v>
      </c>
      <c r="O265" s="2" t="s">
        <v>24</v>
      </c>
      <c r="S265" s="6"/>
      <c r="T265" s="6"/>
      <c r="U265" s="3">
        <v>46006.38852807871</v>
      </c>
      <c r="V265" s="6"/>
      <c r="W265" s="6"/>
      <c r="X265" s="6"/>
    </row>
    <row r="266">
      <c r="A266" s="1" t="str">
        <f>IFERROR(__xludf.DUMMYFUNCTION("""COMPUTED_VALUE"""),"2409-302")</f>
        <v>2409-302</v>
      </c>
      <c r="B266" s="1" t="str">
        <f>IFERROR(__xludf.DUMMYFUNCTION("""COMPUTED_VALUE"""),"Shukla-Carlsbad-Coastal-Subdivision")</f>
        <v>Shukla-Carlsbad-Coastal-Subdivision</v>
      </c>
      <c r="C266" s="1" t="str">
        <f>IFERROR(__xludf.DUMMYFUNCTION("""COMPUTED_VALUE"""),"Abandoned,Expired")</f>
        <v>Abandoned,Expired</v>
      </c>
      <c r="D266" s="4">
        <f>IFERROR(__xludf.DUMMYFUNCTION("""COMPUTED_VALUE"""),912499.0)</f>
        <v>912499</v>
      </c>
      <c r="E266" s="5" t="s">
        <v>20</v>
      </c>
      <c r="J266" s="2" t="s">
        <v>42</v>
      </c>
      <c r="K266" s="2" t="s">
        <v>47</v>
      </c>
      <c r="L266" s="2" t="s">
        <v>51</v>
      </c>
      <c r="M266" s="5" t="s">
        <v>48</v>
      </c>
      <c r="N266" s="5" t="s">
        <v>48</v>
      </c>
      <c r="O266" s="5" t="s">
        <v>24</v>
      </c>
      <c r="S266" s="6"/>
      <c r="T266" s="6"/>
      <c r="U266" s="6"/>
      <c r="V266" s="6"/>
      <c r="W266" s="6"/>
      <c r="X266" s="6"/>
    </row>
    <row r="267">
      <c r="A267" s="1" t="str">
        <f>IFERROR(__xludf.DUMMYFUNCTION("""COMPUTED_VALUE"""),"2409-301")</f>
        <v>2409-301</v>
      </c>
      <c r="B267" s="1" t="str">
        <f>IFERROR(__xludf.DUMMYFUNCTION("""COMPUTED_VALUE"""),"Veterans-Woodland Hills-Multi-Family")</f>
        <v>Veterans-Woodland Hills-Multi-Family</v>
      </c>
      <c r="C267" s="1" t="str">
        <f>IFERROR(__xludf.DUMMYFUNCTION("""COMPUTED_VALUE"""),"Abandoned,Expired")</f>
        <v>Abandoned,Expired</v>
      </c>
      <c r="D267" s="4">
        <f>IFERROR(__xludf.DUMMYFUNCTION("""COMPUTED_VALUE"""),914515.0)</f>
        <v>914515</v>
      </c>
      <c r="E267" s="5" t="s">
        <v>20</v>
      </c>
      <c r="F267" s="2"/>
      <c r="J267" s="2" t="s">
        <v>36</v>
      </c>
      <c r="K267" s="2" t="s">
        <v>39</v>
      </c>
      <c r="L267" s="2" t="s">
        <v>47</v>
      </c>
      <c r="M267" s="5" t="s">
        <v>37</v>
      </c>
      <c r="N267" s="5" t="s">
        <v>48</v>
      </c>
      <c r="O267" s="5" t="s">
        <v>44</v>
      </c>
      <c r="P267" s="2" t="s">
        <v>57</v>
      </c>
      <c r="S267" s="3">
        <v>46006.255897256946</v>
      </c>
      <c r="T267" s="6"/>
      <c r="U267" s="6"/>
      <c r="V267" s="3">
        <v>46005.514888425925</v>
      </c>
      <c r="W267" s="3">
        <v>46005.51491409722</v>
      </c>
      <c r="X267" s="6"/>
    </row>
    <row r="268">
      <c r="A268" s="1" t="str">
        <f>IFERROR(__xludf.DUMMYFUNCTION("""COMPUTED_VALUE"""),"2409-300")</f>
        <v>2409-300</v>
      </c>
      <c r="B268" s="1" t="str">
        <f>IFERROR(__xludf.DUMMYFUNCTION("""COMPUTED_VALUE"""),"Kinsey-Rancho Bernardo-Addition")</f>
        <v>Kinsey-Rancho Bernardo-Addition</v>
      </c>
      <c r="C268" s="1" t="str">
        <f>IFERROR(__xludf.DUMMYFUNCTION("""COMPUTED_VALUE"""),"Approved - Construction Phase")</f>
        <v>Approved - Construction Phase</v>
      </c>
      <c r="D268" s="4">
        <f>IFERROR(__xludf.DUMMYFUNCTION("""COMPUTED_VALUE"""),910556.0)</f>
        <v>910556</v>
      </c>
      <c r="E268" s="5" t="s">
        <v>34</v>
      </c>
      <c r="J268" s="2" t="s">
        <v>40</v>
      </c>
      <c r="K268" s="2" t="s">
        <v>22</v>
      </c>
      <c r="L268" s="2" t="s">
        <v>25</v>
      </c>
      <c r="M268" s="5" t="s">
        <v>44</v>
      </c>
      <c r="N268" s="5" t="s">
        <v>48</v>
      </c>
      <c r="O268" s="5" t="s">
        <v>27</v>
      </c>
      <c r="S268" s="6"/>
      <c r="T268" s="6"/>
      <c r="U268" s="6"/>
      <c r="V268" s="6"/>
      <c r="W268" s="6"/>
      <c r="X268" s="6"/>
    </row>
    <row r="269">
      <c r="A269" s="1" t="str">
        <f>IFERROR(__xludf.DUMMYFUNCTION("""COMPUTED_VALUE"""),"2409-299")</f>
        <v>2409-299</v>
      </c>
      <c r="B269" s="1" t="str">
        <f>IFERROR(__xludf.DUMMYFUNCTION("""COMPUTED_VALUE"""),"Meza-El-Cajon-Multi-Family")</f>
        <v>Meza-El-Cajon-Multi-Family</v>
      </c>
      <c r="C269" s="1" t="str">
        <f>IFERROR(__xludf.DUMMYFUNCTION("""COMPUTED_VALUE"""),"Abandoned,Expired")</f>
        <v>Abandoned,Expired</v>
      </c>
      <c r="D269" s="4">
        <f>IFERROR(__xludf.DUMMYFUNCTION("""COMPUTED_VALUE"""),909331.0)</f>
        <v>909331</v>
      </c>
      <c r="E269" s="5" t="s">
        <v>20</v>
      </c>
      <c r="F269" s="2"/>
      <c r="J269" s="2" t="s">
        <v>47</v>
      </c>
      <c r="K269" s="2" t="s">
        <v>51</v>
      </c>
      <c r="L269" s="2" t="s">
        <v>25</v>
      </c>
      <c r="M269" s="5" t="s">
        <v>37</v>
      </c>
      <c r="N269" s="5" t="s">
        <v>37</v>
      </c>
      <c r="O269" s="5" t="s">
        <v>37</v>
      </c>
      <c r="S269" s="3">
        <v>46006.068328587964</v>
      </c>
      <c r="T269" s="6"/>
      <c r="U269" s="6"/>
      <c r="V269" s="3">
        <v>46005.51611304398</v>
      </c>
      <c r="W269" s="3">
        <v>46005.51543358796</v>
      </c>
      <c r="X269" s="6"/>
    </row>
    <row r="270">
      <c r="A270" s="1" t="str">
        <f>IFERROR(__xludf.DUMMYFUNCTION("""COMPUTED_VALUE"""),"2409-298")</f>
        <v>2409-298</v>
      </c>
      <c r="B270" s="1" t="str">
        <f>IFERROR(__xludf.DUMMYFUNCTION("""COMPUTED_VALUE"""),"Kardon-Morongo-Cabin Conversion")</f>
        <v>Kardon-Morongo-Cabin Conversion</v>
      </c>
      <c r="C270" s="1" t="str">
        <f>IFERROR(__xludf.DUMMYFUNCTION("""COMPUTED_VALUE"""),"A008.2 Architectural Comment Responses")</f>
        <v>A008.2 Architectural Comment Responses</v>
      </c>
      <c r="D270" s="4">
        <f>IFERROR(__xludf.DUMMYFUNCTION("""COMPUTED_VALUE"""),908227.0)</f>
        <v>908227</v>
      </c>
      <c r="E270" s="5" t="s">
        <v>34</v>
      </c>
      <c r="J270" s="2" t="s">
        <v>51</v>
      </c>
      <c r="K270" s="2" t="s">
        <v>51</v>
      </c>
      <c r="L270" s="2" t="s">
        <v>39</v>
      </c>
      <c r="M270" s="5" t="s">
        <v>37</v>
      </c>
      <c r="N270" s="5" t="s">
        <v>37</v>
      </c>
      <c r="O270" s="5" t="s">
        <v>48</v>
      </c>
      <c r="S270" s="6"/>
      <c r="T270" s="6"/>
      <c r="U270" s="6"/>
      <c r="V270" s="6"/>
      <c r="W270" s="6"/>
      <c r="X270" s="6"/>
    </row>
    <row r="271">
      <c r="A271" s="1" t="str">
        <f>IFERROR(__xludf.DUMMYFUNCTION("""COMPUTED_VALUE"""),"2409-297")</f>
        <v>2409-297</v>
      </c>
      <c r="B271" s="1" t="str">
        <f>IFERROR(__xludf.DUMMYFUNCTION("""COMPUTED_VALUE"""),"Robinson-Solvang-Remodel-Addition")</f>
        <v>Robinson-Solvang-Remodel-Addition</v>
      </c>
      <c r="C271" s="1" t="str">
        <f>IFERROR(__xludf.DUMMYFUNCTION("""COMPUTED_VALUE"""),"Abandoned,Expired")</f>
        <v>Abandoned,Expired</v>
      </c>
      <c r="D271" s="4">
        <f>IFERROR(__xludf.DUMMYFUNCTION("""COMPUTED_VALUE"""),906795.0)</f>
        <v>906795</v>
      </c>
      <c r="E271" s="5" t="s">
        <v>34</v>
      </c>
      <c r="J271" s="2" t="s">
        <v>50</v>
      </c>
      <c r="K271" s="2" t="s">
        <v>35</v>
      </c>
      <c r="L271" s="2" t="s">
        <v>39</v>
      </c>
      <c r="M271" s="5" t="s">
        <v>37</v>
      </c>
      <c r="N271" s="5" t="s">
        <v>37</v>
      </c>
      <c r="O271" s="5" t="s">
        <v>37</v>
      </c>
      <c r="S271" s="6"/>
      <c r="T271" s="6"/>
      <c r="U271" s="6"/>
      <c r="V271" s="6"/>
      <c r="W271" s="6"/>
      <c r="X271" s="6"/>
    </row>
    <row r="272">
      <c r="A272" s="1" t="str">
        <f>IFERROR(__xludf.DUMMYFUNCTION("""COMPUTED_VALUE"""),"2409-296")</f>
        <v>2409-296</v>
      </c>
      <c r="B272" s="1" t="str">
        <f>IFERROR(__xludf.DUMMYFUNCTION("""COMPUTED_VALUE"""),"Watson-LA-Remodel-Addition")</f>
        <v>Watson-LA-Remodel-Addition</v>
      </c>
      <c r="C272" s="1" t="str">
        <f>IFERROR(__xludf.DUMMYFUNCTION("""COMPUTED_VALUE"""),"Abandoned,Expired")</f>
        <v>Abandoned,Expired</v>
      </c>
      <c r="D272" s="4">
        <f>IFERROR(__xludf.DUMMYFUNCTION("""COMPUTED_VALUE"""),906743.0)</f>
        <v>906743</v>
      </c>
      <c r="E272" s="5" t="s">
        <v>20</v>
      </c>
      <c r="J272" s="2" t="s">
        <v>40</v>
      </c>
      <c r="K272" s="2" t="s">
        <v>40</v>
      </c>
      <c r="L272" s="2" t="s">
        <v>51</v>
      </c>
      <c r="M272" s="5" t="s">
        <v>48</v>
      </c>
      <c r="N272" s="5" t="s">
        <v>24</v>
      </c>
      <c r="O272" s="5" t="s">
        <v>48</v>
      </c>
      <c r="S272" s="6"/>
      <c r="T272" s="6"/>
      <c r="U272" s="6"/>
      <c r="V272" s="6"/>
      <c r="W272" s="6"/>
      <c r="X272" s="6"/>
    </row>
    <row r="273">
      <c r="A273" s="1" t="str">
        <f>IFERROR(__xludf.DUMMYFUNCTION("""COMPUTED_VALUE"""),"2409-295")</f>
        <v>2409-295</v>
      </c>
      <c r="B273" s="1" t="str">
        <f>IFERROR(__xludf.DUMMYFUNCTION("""COMPUTED_VALUE"""),"Joseph-Arrowhead-Remodel")</f>
        <v>Joseph-Arrowhead-Remodel</v>
      </c>
      <c r="C273" s="1" t="str">
        <f>IFERROR(__xludf.DUMMYFUNCTION("""COMPUTED_VALUE"""),"A008 Submitted - Waiting on Others")</f>
        <v>A008 Submitted - Waiting on Others</v>
      </c>
      <c r="D273" s="4">
        <f>IFERROR(__xludf.DUMMYFUNCTION("""COMPUTED_VALUE"""),906742.0)</f>
        <v>906742</v>
      </c>
      <c r="E273" s="5" t="s">
        <v>20</v>
      </c>
      <c r="F273" s="2"/>
      <c r="J273" s="2" t="s">
        <v>47</v>
      </c>
      <c r="K273" s="2" t="s">
        <v>43</v>
      </c>
      <c r="L273" s="2" t="s">
        <v>25</v>
      </c>
      <c r="M273" s="5" t="s">
        <v>24</v>
      </c>
      <c r="N273" s="5" t="s">
        <v>48</v>
      </c>
      <c r="O273" s="5" t="s">
        <v>48</v>
      </c>
      <c r="S273" s="6"/>
      <c r="T273" s="6"/>
      <c r="U273" s="6"/>
      <c r="V273" s="3">
        <v>46005.48223940972</v>
      </c>
      <c r="W273" s="3">
        <v>46005.48223288194</v>
      </c>
      <c r="X273" s="6"/>
    </row>
    <row r="274">
      <c r="A274" s="1" t="str">
        <f>IFERROR(__xludf.DUMMYFUNCTION("""COMPUTED_VALUE"""),"2409-294")</f>
        <v>2409-294</v>
      </c>
      <c r="B274" s="1" t="str">
        <f>IFERROR(__xludf.DUMMYFUNCTION("""COMPUTED_VALUE"""),"Shaw-Flintridge-2nd Floor Addition")</f>
        <v>Shaw-Flintridge-2nd Floor Addition</v>
      </c>
      <c r="C274" s="1" t="str">
        <f>IFERROR(__xludf.DUMMYFUNCTION("""COMPUTED_VALUE"""),"Paused - Stalled by 3rd Party")</f>
        <v>Paused - Stalled by 3rd Party</v>
      </c>
      <c r="D274" s="4">
        <f>IFERROR(__xludf.DUMMYFUNCTION("""COMPUTED_VALUE"""),906741.0)</f>
        <v>906741</v>
      </c>
      <c r="E274" s="5" t="s">
        <v>20</v>
      </c>
      <c r="J274" s="2" t="s">
        <v>26</v>
      </c>
      <c r="K274" s="2" t="s">
        <v>51</v>
      </c>
      <c r="L274" s="2" t="s">
        <v>36</v>
      </c>
      <c r="M274" s="5" t="s">
        <v>44</v>
      </c>
      <c r="N274" s="5" t="s">
        <v>27</v>
      </c>
      <c r="O274" s="5" t="s">
        <v>24</v>
      </c>
      <c r="S274" s="6"/>
      <c r="T274" s="6"/>
      <c r="U274" s="6"/>
      <c r="V274" s="6"/>
      <c r="W274" s="6"/>
      <c r="X274" s="6"/>
    </row>
    <row r="275">
      <c r="A275" s="1" t="str">
        <f>IFERROR(__xludf.DUMMYFUNCTION("""COMPUTED_VALUE"""),"2409-293")</f>
        <v>2409-293</v>
      </c>
      <c r="B275" s="1" t="str">
        <f>IFERROR(__xludf.DUMMYFUNCTION("""COMPUTED_VALUE"""),"UFO-Southgate Floor Plans and Structural Evaluation")</f>
        <v>UFO-Southgate Floor Plans and Structural Evaluation</v>
      </c>
      <c r="C275" s="1" t="str">
        <f>IFERROR(__xludf.DUMMYFUNCTION("""COMPUTED_VALUE"""),"Completed - Sent to Client")</f>
        <v>Completed - Sent to Client</v>
      </c>
      <c r="D275" s="4">
        <f>IFERROR(__xludf.DUMMYFUNCTION("""COMPUTED_VALUE"""),906734.0)</f>
        <v>906734</v>
      </c>
      <c r="E275" s="5" t="s">
        <v>20</v>
      </c>
      <c r="J275" s="2" t="s">
        <v>43</v>
      </c>
      <c r="K275" s="2" t="s">
        <v>33</v>
      </c>
      <c r="L275" s="2" t="s">
        <v>25</v>
      </c>
      <c r="M275" s="5" t="s">
        <v>27</v>
      </c>
      <c r="N275" s="5" t="s">
        <v>27</v>
      </c>
      <c r="O275" s="5" t="s">
        <v>37</v>
      </c>
      <c r="S275" s="6"/>
      <c r="T275" s="6"/>
      <c r="U275" s="6"/>
      <c r="V275" s="6"/>
      <c r="W275" s="3">
        <v>46006.037732627316</v>
      </c>
      <c r="X275" s="6"/>
    </row>
    <row r="276">
      <c r="A276" s="1" t="str">
        <f>IFERROR(__xludf.DUMMYFUNCTION("""COMPUTED_VALUE"""),"2409-292")</f>
        <v>2409-292</v>
      </c>
      <c r="B276" s="1" t="str">
        <f>IFERROR(__xludf.DUMMYFUNCTION("""COMPUTED_VALUE"""),"FFC-LA-Softstory-Retrofit Wyandotte")</f>
        <v>FFC-LA-Softstory-Retrofit Wyandotte</v>
      </c>
      <c r="C276" s="1" t="str">
        <f>IFERROR(__xludf.DUMMYFUNCTION("""COMPUTED_VALUE"""),"Completed - Sent to Client")</f>
        <v>Completed - Sent to Client</v>
      </c>
      <c r="D276" s="4">
        <f>IFERROR(__xludf.DUMMYFUNCTION("""COMPUTED_VALUE"""),906724.0)</f>
        <v>906724</v>
      </c>
      <c r="E276" s="5" t="s">
        <v>20</v>
      </c>
      <c r="F276" s="2"/>
      <c r="J276" s="2" t="s">
        <v>51</v>
      </c>
      <c r="K276" s="2" t="s">
        <v>43</v>
      </c>
      <c r="L276" s="2" t="s">
        <v>35</v>
      </c>
      <c r="M276" s="5" t="s">
        <v>48</v>
      </c>
      <c r="N276" s="5" t="s">
        <v>24</v>
      </c>
      <c r="O276" s="5" t="s">
        <v>24</v>
      </c>
      <c r="S276" s="3">
        <v>46005.5283304051</v>
      </c>
      <c r="T276" s="6"/>
      <c r="U276" s="6"/>
      <c r="V276" s="3">
        <v>46005.48228986112</v>
      </c>
      <c r="W276" s="3">
        <v>46005.55084730324</v>
      </c>
      <c r="X276" s="6"/>
    </row>
    <row r="277">
      <c r="A277" s="1" t="str">
        <f>IFERROR(__xludf.DUMMYFUNCTION("""COMPUTED_VALUE"""),"2409-291")</f>
        <v>2409-291</v>
      </c>
      <c r="B277" s="1" t="str">
        <f>IFERROR(__xludf.DUMMYFUNCTION("""COMPUTED_VALUE"""),"Carver-Arizona-Storage Units")</f>
        <v>Carver-Arizona-Storage Units</v>
      </c>
      <c r="C277" s="1" t="str">
        <f>IFERROR(__xludf.DUMMYFUNCTION("""COMPUTED_VALUE"""),"Approved - Construction Phase")</f>
        <v>Approved - Construction Phase</v>
      </c>
      <c r="D277" s="4">
        <f>IFERROR(__xludf.DUMMYFUNCTION("""COMPUTED_VALUE"""),906720.0)</f>
        <v>906720</v>
      </c>
      <c r="E277" s="5" t="s">
        <v>20</v>
      </c>
      <c r="F277" s="2"/>
      <c r="J277" s="2" t="s">
        <v>50</v>
      </c>
      <c r="K277" s="2" t="s">
        <v>35</v>
      </c>
      <c r="L277" s="2" t="s">
        <v>33</v>
      </c>
      <c r="M277" s="5" t="s">
        <v>24</v>
      </c>
      <c r="N277" s="5" t="s">
        <v>27</v>
      </c>
      <c r="O277" s="5" t="s">
        <v>24</v>
      </c>
      <c r="S277" s="6"/>
      <c r="T277" s="6"/>
      <c r="U277" s="6"/>
      <c r="V277" s="3">
        <v>46006.03404233797</v>
      </c>
      <c r="W277" s="3">
        <v>46005.517582037035</v>
      </c>
      <c r="X277" s="6"/>
    </row>
    <row r="278">
      <c r="A278" s="1" t="str">
        <f>IFERROR(__xludf.DUMMYFUNCTION("""COMPUTED_VALUE"""),"2409-290")</f>
        <v>2409-290</v>
      </c>
      <c r="B278" s="1" t="str">
        <f>IFERROR(__xludf.DUMMYFUNCTION("""COMPUTED_VALUE"""),"Van Wey-San Diego-Garage ADU")</f>
        <v>Van Wey-San Diego-Garage ADU</v>
      </c>
      <c r="C278" s="1" t="str">
        <f>IFERROR(__xludf.DUMMYFUNCTION("""COMPUTED_VALUE"""),"Approved - Construction Phase")</f>
        <v>Approved - Construction Phase</v>
      </c>
      <c r="D278" s="4">
        <f>IFERROR(__xludf.DUMMYFUNCTION("""COMPUTED_VALUE"""),902796.0)</f>
        <v>902796</v>
      </c>
      <c r="E278" s="5" t="s">
        <v>34</v>
      </c>
      <c r="J278" s="2" t="s">
        <v>39</v>
      </c>
      <c r="K278" s="2" t="s">
        <v>36</v>
      </c>
      <c r="L278" s="2" t="s">
        <v>35</v>
      </c>
      <c r="M278" s="5" t="s">
        <v>44</v>
      </c>
      <c r="N278" s="5" t="s">
        <v>27</v>
      </c>
      <c r="O278" s="5" t="s">
        <v>27</v>
      </c>
      <c r="S278" s="6"/>
      <c r="T278" s="6"/>
      <c r="U278" s="6"/>
      <c r="V278" s="6"/>
      <c r="W278" s="6"/>
      <c r="X278" s="6"/>
    </row>
    <row r="279">
      <c r="A279" s="1" t="str">
        <f>IFERROR(__xludf.DUMMYFUNCTION("""COMPUTED_VALUE"""),"2409-289")</f>
        <v>2409-289</v>
      </c>
      <c r="B279" s="1" t="str">
        <f>IFERROR(__xludf.DUMMYFUNCTION("""COMPUTED_VALUE"""),"Nghiem-Monterey Park-Garage ADU")</f>
        <v>Nghiem-Monterey Park-Garage ADU</v>
      </c>
      <c r="C279" s="1" t="str">
        <f>IFERROR(__xludf.DUMMYFUNCTION("""COMPUTED_VALUE"""),"Approved - Construction Phase")</f>
        <v>Approved - Construction Phase</v>
      </c>
      <c r="D279" s="4">
        <f>IFERROR(__xludf.DUMMYFUNCTION("""COMPUTED_VALUE"""),902781.0)</f>
        <v>902781</v>
      </c>
      <c r="E279" s="5" t="s">
        <v>20</v>
      </c>
      <c r="J279" s="2" t="s">
        <v>40</v>
      </c>
      <c r="K279" s="2" t="s">
        <v>47</v>
      </c>
      <c r="L279" s="2" t="s">
        <v>42</v>
      </c>
      <c r="M279" s="5" t="s">
        <v>48</v>
      </c>
      <c r="N279" s="5" t="s">
        <v>24</v>
      </c>
      <c r="O279" s="5" t="s">
        <v>27</v>
      </c>
      <c r="S279" s="6"/>
      <c r="T279" s="6"/>
      <c r="U279" s="6"/>
      <c r="V279" s="6"/>
      <c r="W279" s="3">
        <v>46006.06950442129</v>
      </c>
      <c r="X279" s="6"/>
    </row>
    <row r="280">
      <c r="A280" s="1" t="str">
        <f>IFERROR(__xludf.DUMMYFUNCTION("""COMPUTED_VALUE"""),"2409-288")</f>
        <v>2409-288</v>
      </c>
      <c r="B280" s="1" t="str">
        <f>IFERROR(__xludf.DUMMYFUNCTION("""COMPUTED_VALUE"""),"Reppucci-Wyoming-Home-Plans")</f>
        <v>Reppucci-Wyoming-Home-Plans</v>
      </c>
      <c r="C280" s="1" t="str">
        <f>IFERROR(__xludf.DUMMYFUNCTION("""COMPUTED_VALUE"""),"Completed - Sent to Client")</f>
        <v>Completed - Sent to Client</v>
      </c>
      <c r="D280" s="4">
        <f>IFERROR(__xludf.DUMMYFUNCTION("""COMPUTED_VALUE"""),897587.0)</f>
        <v>897587</v>
      </c>
      <c r="E280" s="5" t="s">
        <v>34</v>
      </c>
      <c r="J280" s="2" t="s">
        <v>23</v>
      </c>
      <c r="K280" s="2" t="s">
        <v>40</v>
      </c>
      <c r="L280" s="2" t="s">
        <v>50</v>
      </c>
      <c r="M280" s="5" t="s">
        <v>48</v>
      </c>
      <c r="N280" s="5" t="s">
        <v>27</v>
      </c>
      <c r="O280" s="5" t="s">
        <v>37</v>
      </c>
      <c r="S280" s="6"/>
      <c r="T280" s="6"/>
      <c r="U280" s="6"/>
      <c r="V280" s="6"/>
      <c r="W280" s="6"/>
      <c r="X280" s="6"/>
    </row>
    <row r="281">
      <c r="A281" s="1" t="str">
        <f>IFERROR(__xludf.DUMMYFUNCTION("""COMPUTED_VALUE"""),"2409-287")</f>
        <v>2409-287</v>
      </c>
      <c r="B281" s="1" t="str">
        <f>IFERROR(__xludf.DUMMYFUNCTION("""COMPUTED_VALUE"""),"Pimentel-El Cajon-Garage-ADU")</f>
        <v>Pimentel-El Cajon-Garage-ADU</v>
      </c>
      <c r="C281" s="1" t="str">
        <f>IFERROR(__xludf.DUMMYFUNCTION("""COMPUTED_VALUE"""),"Approved - Construction Phase")</f>
        <v>Approved - Construction Phase</v>
      </c>
      <c r="D281" s="4">
        <f>IFERROR(__xludf.DUMMYFUNCTION("""COMPUTED_VALUE"""),896693.0)</f>
        <v>896693</v>
      </c>
      <c r="E281" s="5" t="s">
        <v>34</v>
      </c>
      <c r="F281" s="2"/>
      <c r="J281" s="2" t="s">
        <v>23</v>
      </c>
      <c r="K281" s="2" t="s">
        <v>50</v>
      </c>
      <c r="L281" s="2" t="s">
        <v>22</v>
      </c>
      <c r="M281" s="5" t="s">
        <v>37</v>
      </c>
      <c r="N281" s="5" t="s">
        <v>44</v>
      </c>
      <c r="O281" s="2" t="s">
        <v>24</v>
      </c>
      <c r="S281" s="3">
        <v>46005.500371898146</v>
      </c>
      <c r="T281" s="6"/>
      <c r="U281" s="3">
        <v>46006.38024106481</v>
      </c>
      <c r="V281" s="3">
        <v>46005.4825810301</v>
      </c>
      <c r="W281" s="3">
        <v>46005.48256837963</v>
      </c>
      <c r="X281" s="6"/>
    </row>
    <row r="282">
      <c r="A282" s="1" t="str">
        <f>IFERROR(__xludf.DUMMYFUNCTION("""COMPUTED_VALUE"""),"2409-286")</f>
        <v>2409-286</v>
      </c>
      <c r="B282" s="1" t="str">
        <f>IFERROR(__xludf.DUMMYFUNCTION("""COMPUTED_VALUE"""),"Lage-Canyon Lake-New Residence")</f>
        <v>Lage-Canyon Lake-New Residence</v>
      </c>
      <c r="C282" s="1" t="str">
        <f>IFERROR(__xludf.DUMMYFUNCTION("""COMPUTED_VALUE"""),"Paused - Stalled by 3rd Party")</f>
        <v>Paused - Stalled by 3rd Party</v>
      </c>
      <c r="D282" s="4">
        <f>IFERROR(__xludf.DUMMYFUNCTION("""COMPUTED_VALUE"""),895221.0)</f>
        <v>895221</v>
      </c>
      <c r="E282" s="5" t="s">
        <v>34</v>
      </c>
      <c r="J282" s="2" t="s">
        <v>23</v>
      </c>
      <c r="K282" s="2" t="s">
        <v>42</v>
      </c>
      <c r="L282" s="2" t="s">
        <v>42</v>
      </c>
      <c r="M282" s="5" t="s">
        <v>37</v>
      </c>
      <c r="N282" s="5" t="s">
        <v>37</v>
      </c>
      <c r="O282" s="5" t="s">
        <v>24</v>
      </c>
      <c r="S282" s="6"/>
      <c r="T282" s="6"/>
      <c r="U282" s="6"/>
      <c r="V282" s="6"/>
      <c r="W282" s="6"/>
      <c r="X282" s="6"/>
    </row>
    <row r="283">
      <c r="A283" s="1" t="str">
        <f>IFERROR(__xludf.DUMMYFUNCTION("""COMPUTED_VALUE"""),"2409-285")</f>
        <v>2409-285</v>
      </c>
      <c r="B283" s="1" t="str">
        <f>IFERROR(__xludf.DUMMYFUNCTION("""COMPUTED_VALUE"""),"Winchester-SD-Addition")</f>
        <v>Winchester-SD-Addition</v>
      </c>
      <c r="C283" s="1" t="str">
        <f>IFERROR(__xludf.DUMMYFUNCTION("""COMPUTED_VALUE"""),"A009 Resubmitted")</f>
        <v>A009 Resubmitted</v>
      </c>
      <c r="D283" s="4">
        <f>IFERROR(__xludf.DUMMYFUNCTION("""COMPUTED_VALUE"""),895164.0)</f>
        <v>895164</v>
      </c>
      <c r="E283" s="5" t="s">
        <v>20</v>
      </c>
      <c r="J283" s="2" t="s">
        <v>51</v>
      </c>
      <c r="K283" s="2" t="s">
        <v>43</v>
      </c>
      <c r="L283" s="2" t="s">
        <v>25</v>
      </c>
      <c r="M283" s="5" t="s">
        <v>37</v>
      </c>
      <c r="N283" s="5" t="s">
        <v>48</v>
      </c>
      <c r="O283" s="5" t="s">
        <v>48</v>
      </c>
      <c r="S283" s="6"/>
      <c r="T283" s="6"/>
      <c r="U283" s="6"/>
      <c r="V283" s="6"/>
      <c r="W283" s="6"/>
      <c r="X283" s="6"/>
    </row>
    <row r="284">
      <c r="A284" s="1" t="str">
        <f>IFERROR(__xludf.DUMMYFUNCTION("""COMPUTED_VALUE"""),"2409-284")</f>
        <v>2409-284</v>
      </c>
      <c r="B284" s="1" t="str">
        <f>IFERROR(__xludf.DUMMYFUNCTION("""COMPUTED_VALUE"""),"First-Presbyterian-El-Cajon-Conversion")</f>
        <v>First-Presbyterian-El-Cajon-Conversion</v>
      </c>
      <c r="C284" s="1" t="str">
        <f>IFERROR(__xludf.DUMMYFUNCTION("""COMPUTED_VALUE"""),"Approved - Construction Phase")</f>
        <v>Approved - Construction Phase</v>
      </c>
      <c r="D284" s="4">
        <f>IFERROR(__xludf.DUMMYFUNCTION("""COMPUTED_VALUE"""),895160.0)</f>
        <v>895160</v>
      </c>
      <c r="E284" s="5" t="s">
        <v>34</v>
      </c>
      <c r="J284" s="2" t="s">
        <v>43</v>
      </c>
      <c r="K284" s="2" t="s">
        <v>23</v>
      </c>
      <c r="L284" s="2" t="s">
        <v>25</v>
      </c>
      <c r="M284" s="5" t="s">
        <v>37</v>
      </c>
      <c r="N284" s="5" t="s">
        <v>48</v>
      </c>
      <c r="O284" s="5" t="s">
        <v>37</v>
      </c>
      <c r="S284" s="6"/>
      <c r="T284" s="6"/>
      <c r="U284" s="6"/>
      <c r="V284" s="6"/>
      <c r="W284" s="6"/>
      <c r="X284" s="6"/>
    </row>
    <row r="285">
      <c r="A285" s="1" t="str">
        <f>IFERROR(__xludf.DUMMYFUNCTION("""COMPUTED_VALUE"""),"2409-283")</f>
        <v>2409-283</v>
      </c>
      <c r="B285" s="1" t="str">
        <f>IFERROR(__xludf.DUMMYFUNCTION("""COMPUTED_VALUE"""),"Denisiu-Westchester-Remodel")</f>
        <v>Denisiu-Westchester-Remodel</v>
      </c>
      <c r="C285" s="1" t="str">
        <f>IFERROR(__xludf.DUMMYFUNCTION("""COMPUTED_VALUE"""),"Abandoned,Expired")</f>
        <v>Abandoned,Expired</v>
      </c>
      <c r="D285" s="4">
        <f>IFERROR(__xludf.DUMMYFUNCTION("""COMPUTED_VALUE"""),895122.0)</f>
        <v>895122</v>
      </c>
      <c r="E285" s="5" t="s">
        <v>20</v>
      </c>
      <c r="F285" s="2"/>
      <c r="J285" s="2" t="s">
        <v>51</v>
      </c>
      <c r="K285" s="2" t="s">
        <v>39</v>
      </c>
      <c r="L285" s="2" t="s">
        <v>32</v>
      </c>
      <c r="M285" s="5" t="s">
        <v>24</v>
      </c>
      <c r="N285" s="5" t="s">
        <v>24</v>
      </c>
      <c r="O285" s="5" t="s">
        <v>24</v>
      </c>
      <c r="S285" s="6"/>
      <c r="T285" s="6"/>
      <c r="U285" s="6"/>
      <c r="V285" s="3">
        <v>46006.06955881944</v>
      </c>
      <c r="W285" s="3">
        <v>46006.06955204861</v>
      </c>
      <c r="X285" s="6"/>
    </row>
    <row r="286">
      <c r="A286" s="1" t="str">
        <f>IFERROR(__xludf.DUMMYFUNCTION("""COMPUTED_VALUE"""),"2409-101")</f>
        <v>2409-101</v>
      </c>
      <c r="B286" s="1" t="str">
        <f>IFERROR(__xludf.DUMMYFUNCTION("""COMPUTED_VALUE"""),"Iny-Brentwood-Landscape Plans")</f>
        <v>Iny-Brentwood-Landscape Plans</v>
      </c>
      <c r="C286" s="1" t="str">
        <f>IFERROR(__xludf.DUMMYFUNCTION("""COMPUTED_VALUE"""),"Approved - Construction Phase")</f>
        <v>Approved - Construction Phase</v>
      </c>
      <c r="D286" s="4">
        <f>IFERROR(__xludf.DUMMYFUNCTION("""COMPUTED_VALUE"""),902770.0)</f>
        <v>902770</v>
      </c>
      <c r="E286" s="5" t="s">
        <v>34</v>
      </c>
      <c r="J286" s="2" t="s">
        <v>50</v>
      </c>
      <c r="K286" s="2" t="s">
        <v>26</v>
      </c>
      <c r="L286" s="2" t="s">
        <v>40</v>
      </c>
      <c r="M286" s="5" t="s">
        <v>27</v>
      </c>
      <c r="N286" s="5" t="s">
        <v>24</v>
      </c>
      <c r="O286" s="5" t="s">
        <v>24</v>
      </c>
      <c r="S286" s="6"/>
      <c r="T286" s="6"/>
      <c r="U286" s="6"/>
      <c r="V286" s="6"/>
      <c r="W286" s="6"/>
      <c r="X286" s="6"/>
    </row>
    <row r="287">
      <c r="A287" s="1" t="str">
        <f>IFERROR(__xludf.DUMMYFUNCTION("""COMPUTED_VALUE"""),"2408-282")</f>
        <v>2408-282</v>
      </c>
      <c r="B287" s="1" t="str">
        <f>IFERROR(__xludf.DUMMYFUNCTION("""COMPUTED_VALUE"""),"Garman-Victorville-Patio-Permit")</f>
        <v>Garman-Victorville-Patio-Permit</v>
      </c>
      <c r="C287" s="1" t="str">
        <f>IFERROR(__xludf.DUMMYFUNCTION("""COMPUTED_VALUE"""),"Approved - Construction Phase")</f>
        <v>Approved - Construction Phase</v>
      </c>
      <c r="D287" s="4">
        <f>IFERROR(__xludf.DUMMYFUNCTION("""COMPUTED_VALUE"""),885682.0)</f>
        <v>885682</v>
      </c>
      <c r="E287" s="5" t="s">
        <v>20</v>
      </c>
      <c r="F287" s="2"/>
      <c r="J287" s="2" t="s">
        <v>32</v>
      </c>
      <c r="K287" s="2" t="s">
        <v>47</v>
      </c>
      <c r="L287" s="2" t="s">
        <v>36</v>
      </c>
      <c r="M287" s="5" t="s">
        <v>48</v>
      </c>
      <c r="N287" s="5" t="s">
        <v>37</v>
      </c>
      <c r="O287" s="5" t="s">
        <v>48</v>
      </c>
      <c r="S287" s="6"/>
      <c r="T287" s="6"/>
      <c r="U287" s="6"/>
      <c r="V287" s="3">
        <v>46005.45212996528</v>
      </c>
      <c r="W287" s="3">
        <v>46005.452176666666</v>
      </c>
      <c r="X287" s="6"/>
    </row>
    <row r="288">
      <c r="A288" s="1" t="str">
        <f>IFERROR(__xludf.DUMMYFUNCTION("""COMPUTED_VALUE"""),"2408-281")</f>
        <v>2408-281</v>
      </c>
      <c r="B288" s="1" t="str">
        <f>IFERROR(__xludf.DUMMYFUNCTION("""COMPUTED_VALUE"""),"Reinke-SD-Front-Room-Addition")</f>
        <v>Reinke-SD-Front-Room-Addition</v>
      </c>
      <c r="C288" s="1" t="str">
        <f>IFERROR(__xludf.DUMMYFUNCTION("""COMPUTED_VALUE"""),"Approved - Construction Phase")</f>
        <v>Approved - Construction Phase</v>
      </c>
      <c r="D288" s="4">
        <f>IFERROR(__xludf.DUMMYFUNCTION("""COMPUTED_VALUE"""),885674.0)</f>
        <v>885674</v>
      </c>
      <c r="E288" s="5" t="s">
        <v>20</v>
      </c>
      <c r="J288" s="2" t="s">
        <v>32</v>
      </c>
      <c r="K288" s="2" t="s">
        <v>36</v>
      </c>
      <c r="L288" s="2" t="s">
        <v>33</v>
      </c>
      <c r="M288" s="5" t="s">
        <v>27</v>
      </c>
      <c r="N288" s="5" t="s">
        <v>24</v>
      </c>
      <c r="O288" s="5" t="s">
        <v>37</v>
      </c>
      <c r="S288" s="6"/>
      <c r="T288" s="6"/>
      <c r="U288" s="6"/>
      <c r="V288" s="6"/>
      <c r="W288" s="6"/>
      <c r="X288" s="6"/>
    </row>
    <row r="289">
      <c r="A289" s="1" t="str">
        <f>IFERROR(__xludf.DUMMYFUNCTION("""COMPUTED_VALUE"""),"2408-280")</f>
        <v>2408-280</v>
      </c>
      <c r="B289" s="1" t="str">
        <f>IFERROR(__xludf.DUMMYFUNCTION("""COMPUTED_VALUE"""),"Grada-SD-garage-ADU-Plans")</f>
        <v>Grada-SD-garage-ADU-Plans</v>
      </c>
      <c r="C289" s="1" t="str">
        <f>IFERROR(__xludf.DUMMYFUNCTION("""COMPUTED_VALUE"""),"Approved - Construction Phase")</f>
        <v>Approved - Construction Phase</v>
      </c>
      <c r="D289" s="4">
        <f>IFERROR(__xludf.DUMMYFUNCTION("""COMPUTED_VALUE"""),885671.0)</f>
        <v>885671</v>
      </c>
      <c r="E289" s="5" t="s">
        <v>20</v>
      </c>
      <c r="J289" s="2" t="s">
        <v>49</v>
      </c>
      <c r="K289" s="2" t="s">
        <v>40</v>
      </c>
      <c r="L289" s="2" t="s">
        <v>43</v>
      </c>
      <c r="M289" s="5" t="s">
        <v>44</v>
      </c>
      <c r="N289" s="5" t="s">
        <v>24</v>
      </c>
      <c r="O289" s="5" t="s">
        <v>24</v>
      </c>
      <c r="S289" s="6"/>
      <c r="T289" s="6"/>
      <c r="U289" s="6"/>
      <c r="V289" s="6"/>
      <c r="W289" s="6"/>
      <c r="X289" s="6"/>
    </row>
    <row r="290">
      <c r="A290" s="1" t="str">
        <f>IFERROR(__xludf.DUMMYFUNCTION("""COMPUTED_VALUE"""),"2408-279")</f>
        <v>2408-279</v>
      </c>
      <c r="B290" s="1" t="str">
        <f>IFERROR(__xludf.DUMMYFUNCTION("""COMPUTED_VALUE"""),"Long-Barstow-ADU-Permitting")</f>
        <v>Long-Barstow-ADU-Permitting</v>
      </c>
      <c r="C290" s="1" t="str">
        <f>IFERROR(__xludf.DUMMYFUNCTION("""COMPUTED_VALUE"""),"A008.2 Architectural Comment Responses")</f>
        <v>A008.2 Architectural Comment Responses</v>
      </c>
      <c r="D290" s="4">
        <f>IFERROR(__xludf.DUMMYFUNCTION("""COMPUTED_VALUE"""),885661.0)</f>
        <v>885661</v>
      </c>
      <c r="E290" s="5" t="s">
        <v>34</v>
      </c>
      <c r="J290" s="2" t="s">
        <v>35</v>
      </c>
      <c r="K290" s="2" t="s">
        <v>43</v>
      </c>
      <c r="L290" s="2" t="s">
        <v>51</v>
      </c>
      <c r="M290" s="5" t="s">
        <v>44</v>
      </c>
      <c r="N290" s="5" t="s">
        <v>24</v>
      </c>
      <c r="O290" s="5" t="s">
        <v>37</v>
      </c>
      <c r="S290" s="6"/>
      <c r="T290" s="6"/>
      <c r="U290" s="6"/>
      <c r="V290" s="6"/>
      <c r="W290" s="6"/>
      <c r="X290" s="6"/>
    </row>
    <row r="291">
      <c r="A291" s="1" t="str">
        <f>IFERROR(__xludf.DUMMYFUNCTION("""COMPUTED_VALUE"""),"2408-278")</f>
        <v>2408-278</v>
      </c>
      <c r="B291" s="1" t="str">
        <f>IFERROR(__xludf.DUMMYFUNCTION("""COMPUTED_VALUE"""),"Patil-RSM-Garage-Bed-And-Bath")</f>
        <v>Patil-RSM-Garage-Bed-And-Bath</v>
      </c>
      <c r="C291" s="1" t="str">
        <f>IFERROR(__xludf.DUMMYFUNCTION("""COMPUTED_VALUE"""),"Approved - Construction Phase")</f>
        <v>Approved - Construction Phase</v>
      </c>
      <c r="D291" s="4">
        <f>IFERROR(__xludf.DUMMYFUNCTION("""COMPUTED_VALUE"""),880965.0)</f>
        <v>880965</v>
      </c>
      <c r="E291" s="5" t="s">
        <v>34</v>
      </c>
      <c r="J291" s="2" t="s">
        <v>33</v>
      </c>
      <c r="K291" s="2" t="s">
        <v>26</v>
      </c>
      <c r="L291" s="2" t="s">
        <v>39</v>
      </c>
      <c r="M291" s="5" t="s">
        <v>24</v>
      </c>
      <c r="N291" s="5" t="s">
        <v>37</v>
      </c>
      <c r="O291" s="5" t="s">
        <v>48</v>
      </c>
      <c r="S291" s="6"/>
      <c r="T291" s="6"/>
      <c r="U291" s="6"/>
      <c r="V291" s="6"/>
      <c r="W291" s="3">
        <v>46006.033986435184</v>
      </c>
      <c r="X291" s="6"/>
    </row>
    <row r="292">
      <c r="A292" s="1" t="str">
        <f>IFERROR(__xludf.DUMMYFUNCTION("""COMPUTED_VALUE"""),"2408-277")</f>
        <v>2408-277</v>
      </c>
      <c r="B292" s="1" t="str">
        <f>IFERROR(__xludf.DUMMYFUNCTION("""COMPUTED_VALUE"""),"Pericleous-Landers-Garage-ADU")</f>
        <v>Pericleous-Landers-Garage-ADU</v>
      </c>
      <c r="C292" s="1" t="str">
        <f>IFERROR(__xludf.DUMMYFUNCTION("""COMPUTED_VALUE"""),"Approved - Construction Phase")</f>
        <v>Approved - Construction Phase</v>
      </c>
      <c r="D292" s="4">
        <f>IFERROR(__xludf.DUMMYFUNCTION("""COMPUTED_VALUE"""),880807.0)</f>
        <v>880807</v>
      </c>
      <c r="E292" s="5" t="s">
        <v>20</v>
      </c>
      <c r="J292" s="2" t="s">
        <v>26</v>
      </c>
      <c r="K292" s="2" t="s">
        <v>51</v>
      </c>
      <c r="L292" s="2" t="s">
        <v>50</v>
      </c>
      <c r="M292" s="5" t="s">
        <v>48</v>
      </c>
      <c r="N292" s="5" t="s">
        <v>37</v>
      </c>
      <c r="O292" s="5" t="s">
        <v>37</v>
      </c>
      <c r="S292" s="6"/>
      <c r="T292" s="6"/>
      <c r="U292" s="6"/>
      <c r="V292" s="6"/>
      <c r="W292" s="6"/>
      <c r="X292" s="6"/>
    </row>
    <row r="293">
      <c r="A293" s="1" t="str">
        <f>IFERROR(__xludf.DUMMYFUNCTION("""COMPUTED_VALUE"""),"2408-276")</f>
        <v>2408-276</v>
      </c>
      <c r="B293" s="1" t="str">
        <f>IFERROR(__xludf.DUMMYFUNCTION("""COMPUTED_VALUE"""),"Reilly-San-Clemente-Remodel")</f>
        <v>Reilly-San-Clemente-Remodel</v>
      </c>
      <c r="C293" s="1" t="str">
        <f>IFERROR(__xludf.DUMMYFUNCTION("""COMPUTED_VALUE"""),"Approved - Construction Phase")</f>
        <v>Approved - Construction Phase</v>
      </c>
      <c r="D293" s="4">
        <f>IFERROR(__xludf.DUMMYFUNCTION("""COMPUTED_VALUE"""),879757.0)</f>
        <v>879757</v>
      </c>
      <c r="E293" s="5" t="s">
        <v>34</v>
      </c>
      <c r="J293" s="2" t="s">
        <v>32</v>
      </c>
      <c r="K293" s="2" t="s">
        <v>25</v>
      </c>
      <c r="L293" s="2" t="s">
        <v>43</v>
      </c>
      <c r="M293" s="5" t="s">
        <v>24</v>
      </c>
      <c r="N293" s="5" t="s">
        <v>27</v>
      </c>
      <c r="O293" s="5" t="s">
        <v>37</v>
      </c>
      <c r="S293" s="6"/>
      <c r="T293" s="6"/>
      <c r="U293" s="6"/>
      <c r="V293" s="6"/>
      <c r="W293" s="6"/>
      <c r="X293" s="6"/>
    </row>
    <row r="294">
      <c r="A294" s="1" t="str">
        <f>IFERROR(__xludf.DUMMYFUNCTION("""COMPUTED_VALUE"""),"2408-275")</f>
        <v>2408-275</v>
      </c>
      <c r="B294" s="1" t="str">
        <f>IFERROR(__xludf.DUMMYFUNCTION("""COMPUTED_VALUE"""),"Litmanovitch-Wilshire-Penthouse-Remodel")</f>
        <v>Litmanovitch-Wilshire-Penthouse-Remodel</v>
      </c>
      <c r="C294" s="1" t="str">
        <f>IFERROR(__xludf.DUMMYFUNCTION("""COMPUTED_VALUE"""),"Abandoned,Expired")</f>
        <v>Abandoned,Expired</v>
      </c>
      <c r="D294" s="4">
        <f>IFERROR(__xludf.DUMMYFUNCTION("""COMPUTED_VALUE"""),876143.0)</f>
        <v>876143</v>
      </c>
      <c r="E294" s="5" t="s">
        <v>34</v>
      </c>
      <c r="J294" s="2" t="s">
        <v>49</v>
      </c>
      <c r="K294" s="2" t="s">
        <v>33</v>
      </c>
      <c r="L294" s="2" t="s">
        <v>33</v>
      </c>
      <c r="M294" s="5" t="s">
        <v>48</v>
      </c>
      <c r="N294" s="5" t="s">
        <v>44</v>
      </c>
      <c r="O294" s="5" t="s">
        <v>37</v>
      </c>
      <c r="S294" s="6"/>
      <c r="T294" s="6"/>
      <c r="U294" s="6"/>
      <c r="V294" s="6"/>
      <c r="W294" s="6"/>
      <c r="X294" s="6"/>
    </row>
    <row r="295">
      <c r="A295" s="1" t="str">
        <f>IFERROR(__xludf.DUMMYFUNCTION("""COMPUTED_VALUE"""),"2408-274")</f>
        <v>2408-274</v>
      </c>
      <c r="B295" s="1" t="str">
        <f>IFERROR(__xludf.DUMMYFUNCTION("""COMPUTED_VALUE"""),"Faith-Family-Inglewood-Site-Plans")</f>
        <v>Faith-Family-Inglewood-Site-Plans</v>
      </c>
      <c r="C295" s="1" t="str">
        <f>IFERROR(__xludf.DUMMYFUNCTION("""COMPUTED_VALUE"""),"Approved - Construction Phase")</f>
        <v>Approved - Construction Phase</v>
      </c>
      <c r="D295" s="4">
        <f>IFERROR(__xludf.DUMMYFUNCTION("""COMPUTED_VALUE"""),875007.0)</f>
        <v>875007</v>
      </c>
      <c r="E295" s="5" t="s">
        <v>20</v>
      </c>
      <c r="J295" s="2" t="s">
        <v>22</v>
      </c>
      <c r="K295" s="2" t="s">
        <v>42</v>
      </c>
      <c r="L295" s="2" t="s">
        <v>43</v>
      </c>
      <c r="M295" s="2" t="s">
        <v>44</v>
      </c>
      <c r="N295" s="5" t="s">
        <v>37</v>
      </c>
      <c r="O295" s="5" t="s">
        <v>37</v>
      </c>
      <c r="S295" s="3">
        <v>46006.38627188657</v>
      </c>
      <c r="T295" s="6"/>
      <c r="U295" s="6"/>
      <c r="V295" s="6"/>
      <c r="W295" s="6"/>
      <c r="X295" s="6"/>
    </row>
    <row r="296">
      <c r="A296" s="1" t="str">
        <f>IFERROR(__xludf.DUMMYFUNCTION("""COMPUTED_VALUE"""),"2407-273")</f>
        <v>2407-273</v>
      </c>
      <c r="B296" s="1" t="str">
        <f>IFERROR(__xludf.DUMMYFUNCTION("""COMPUTED_VALUE"""),"Sanchez - LA Multi Family Permitting")</f>
        <v>Sanchez - LA Multi Family Permitting</v>
      </c>
      <c r="C296" s="1" t="str">
        <f>IFERROR(__xludf.DUMMYFUNCTION("""COMPUTED_VALUE"""),"A008.2 Architectural Comment Responses")</f>
        <v>A008.2 Architectural Comment Responses</v>
      </c>
      <c r="D296" s="4">
        <f>IFERROR(__xludf.DUMMYFUNCTION("""COMPUTED_VALUE"""),873691.0)</f>
        <v>873691</v>
      </c>
      <c r="E296" s="5" t="s">
        <v>34</v>
      </c>
      <c r="J296" s="2" t="s">
        <v>39</v>
      </c>
      <c r="K296" s="2" t="s">
        <v>51</v>
      </c>
      <c r="L296" s="2" t="s">
        <v>32</v>
      </c>
      <c r="M296" s="5" t="s">
        <v>44</v>
      </c>
      <c r="N296" s="5" t="s">
        <v>27</v>
      </c>
      <c r="O296" s="5" t="s">
        <v>24</v>
      </c>
      <c r="S296" s="6"/>
      <c r="T296" s="6"/>
      <c r="U296" s="6"/>
      <c r="V296" s="6"/>
      <c r="W296" s="6"/>
      <c r="X296" s="6"/>
    </row>
    <row r="297">
      <c r="A297" s="1" t="str">
        <f>IFERROR(__xludf.DUMMYFUNCTION("""COMPUTED_VALUE"""),"2407-272")</f>
        <v>2407-272</v>
      </c>
      <c r="B297" s="1" t="str">
        <f>IFERROR(__xludf.DUMMYFUNCTION("""COMPUTED_VALUE"""),"Smith-Newport-Master Addition")</f>
        <v>Smith-Newport-Master Addition</v>
      </c>
      <c r="C297" s="1" t="str">
        <f>IFERROR(__xludf.DUMMYFUNCTION("""COMPUTED_VALUE"""),"Abandoned,Expired")</f>
        <v>Abandoned,Expired</v>
      </c>
      <c r="D297" s="4">
        <f>IFERROR(__xludf.DUMMYFUNCTION("""COMPUTED_VALUE"""),860177.0)</f>
        <v>860177</v>
      </c>
      <c r="E297" s="5" t="s">
        <v>34</v>
      </c>
      <c r="J297" s="2" t="s">
        <v>49</v>
      </c>
      <c r="K297" s="2" t="s">
        <v>36</v>
      </c>
      <c r="L297" s="2" t="s">
        <v>47</v>
      </c>
      <c r="M297" s="5" t="s">
        <v>27</v>
      </c>
      <c r="N297" s="5" t="s">
        <v>37</v>
      </c>
      <c r="O297" s="5" t="s">
        <v>44</v>
      </c>
      <c r="S297" s="6"/>
      <c r="T297" s="6"/>
      <c r="U297" s="6"/>
      <c r="V297" s="6"/>
      <c r="W297" s="3">
        <v>46006.0105709375</v>
      </c>
      <c r="X297" s="6"/>
    </row>
    <row r="298">
      <c r="A298" s="1" t="str">
        <f>IFERROR(__xludf.DUMMYFUNCTION("""COMPUTED_VALUE"""),"2407-271")</f>
        <v>2407-271</v>
      </c>
      <c r="B298" s="1" t="str">
        <f>IFERROR(__xludf.DUMMYFUNCTION("""COMPUTED_VALUE"""),"Lee - Fullerton - Addition - Remodel")</f>
        <v>Lee - Fullerton - Addition - Remodel</v>
      </c>
      <c r="C298" s="1" t="str">
        <f>IFERROR(__xludf.DUMMYFUNCTION("""COMPUTED_VALUE"""),"A009 Resubmitted")</f>
        <v>A009 Resubmitted</v>
      </c>
      <c r="D298" s="4">
        <f>IFERROR(__xludf.DUMMYFUNCTION("""COMPUTED_VALUE"""),861056.0)</f>
        <v>861056</v>
      </c>
      <c r="E298" s="5" t="s">
        <v>20</v>
      </c>
      <c r="J298" s="2" t="s">
        <v>40</v>
      </c>
      <c r="K298" s="2" t="s">
        <v>36</v>
      </c>
      <c r="L298" s="2" t="s">
        <v>35</v>
      </c>
      <c r="M298" s="5" t="s">
        <v>27</v>
      </c>
      <c r="N298" s="5" t="s">
        <v>27</v>
      </c>
      <c r="O298" s="5" t="s">
        <v>48</v>
      </c>
      <c r="S298" s="6"/>
      <c r="T298" s="6"/>
      <c r="U298" s="6"/>
      <c r="V298" s="6"/>
      <c r="W298" s="6"/>
      <c r="X298" s="6"/>
    </row>
    <row r="299">
      <c r="A299" s="1" t="str">
        <f>IFERROR(__xludf.DUMMYFUNCTION("""COMPUTED_VALUE"""),"2407-270")</f>
        <v>2407-270</v>
      </c>
      <c r="B299" s="1" t="str">
        <f>IFERROR(__xludf.DUMMYFUNCTION("""COMPUTED_VALUE"""),"Wright Big Bear Deck Extension")</f>
        <v>Wright Big Bear Deck Extension</v>
      </c>
      <c r="C299" s="1" t="str">
        <f>IFERROR(__xludf.DUMMYFUNCTION("""COMPUTED_VALUE"""),"Approved - Construction Phase")</f>
        <v>Approved - Construction Phase</v>
      </c>
      <c r="D299" s="4">
        <f>IFERROR(__xludf.DUMMYFUNCTION("""COMPUTED_VALUE"""),848408.0)</f>
        <v>848408</v>
      </c>
      <c r="E299" s="5" t="s">
        <v>20</v>
      </c>
      <c r="J299" s="2" t="s">
        <v>39</v>
      </c>
      <c r="K299" s="2" t="s">
        <v>47</v>
      </c>
      <c r="L299" s="2" t="s">
        <v>50</v>
      </c>
      <c r="M299" s="5" t="s">
        <v>27</v>
      </c>
      <c r="N299" s="5" t="s">
        <v>24</v>
      </c>
      <c r="O299" s="5" t="s">
        <v>27</v>
      </c>
      <c r="S299" s="6"/>
      <c r="T299" s="6"/>
      <c r="U299" s="6"/>
      <c r="V299" s="6"/>
      <c r="W299" s="3">
        <v>46006.068659641205</v>
      </c>
      <c r="X299" s="6"/>
    </row>
    <row r="300">
      <c r="A300" s="1" t="str">
        <f>IFERROR(__xludf.DUMMYFUNCTION("""COMPUTED_VALUE"""),"2407-269")</f>
        <v>2407-269</v>
      </c>
      <c r="B300" s="1" t="str">
        <f>IFERROR(__xludf.DUMMYFUNCTION("""COMPUTED_VALUE"""),"Walter San Marcos ADU Row Permit")</f>
        <v>Walter San Marcos ADU Row Permit</v>
      </c>
      <c r="C300" s="1" t="str">
        <f>IFERROR(__xludf.DUMMYFUNCTION("""COMPUTED_VALUE"""),"Approved - Construction Phase")</f>
        <v>Approved - Construction Phase</v>
      </c>
      <c r="D300" s="4">
        <f>IFERROR(__xludf.DUMMYFUNCTION("""COMPUTED_VALUE"""),848410.0)</f>
        <v>848410</v>
      </c>
      <c r="E300" s="5" t="s">
        <v>34</v>
      </c>
      <c r="J300" s="2" t="s">
        <v>39</v>
      </c>
      <c r="K300" s="2" t="s">
        <v>49</v>
      </c>
      <c r="L300" s="2" t="s">
        <v>32</v>
      </c>
      <c r="M300" s="5" t="s">
        <v>37</v>
      </c>
      <c r="N300" s="5" t="s">
        <v>44</v>
      </c>
      <c r="O300" s="5" t="s">
        <v>27</v>
      </c>
      <c r="S300" s="3">
        <v>46005.2067233912</v>
      </c>
      <c r="T300" s="6"/>
      <c r="U300" s="6"/>
      <c r="V300" s="6"/>
      <c r="W300" s="3">
        <v>46006.01519982639</v>
      </c>
      <c r="X300" s="6"/>
    </row>
    <row r="301">
      <c r="A301" s="1" t="str">
        <f>IFERROR(__xludf.DUMMYFUNCTION("""COMPUTED_VALUE"""),"2407-268")</f>
        <v>2407-268</v>
      </c>
      <c r="B301" s="1" t="str">
        <f>IFERROR(__xludf.DUMMYFUNCTION("""COMPUTED_VALUE"""),"Navarro - Hemet - New Home")</f>
        <v>Navarro - Hemet - New Home</v>
      </c>
      <c r="C301" s="1" t="str">
        <f>IFERROR(__xludf.DUMMYFUNCTION("""COMPUTED_VALUE"""),"A008.2 Architectural Comment Responses")</f>
        <v>A008.2 Architectural Comment Responses</v>
      </c>
      <c r="D301" s="4">
        <f>IFERROR(__xludf.DUMMYFUNCTION("""COMPUTED_VALUE"""),847007.0)</f>
        <v>847007</v>
      </c>
      <c r="E301" s="5" t="s">
        <v>34</v>
      </c>
      <c r="J301" s="2" t="s">
        <v>47</v>
      </c>
      <c r="K301" s="2" t="s">
        <v>35</v>
      </c>
      <c r="L301" s="2" t="s">
        <v>47</v>
      </c>
      <c r="M301" s="5" t="s">
        <v>37</v>
      </c>
      <c r="N301" s="5" t="s">
        <v>44</v>
      </c>
      <c r="O301" s="5" t="s">
        <v>44</v>
      </c>
      <c r="S301" s="6"/>
      <c r="T301" s="6"/>
      <c r="U301" s="6"/>
      <c r="V301" s="6"/>
      <c r="W301" s="6"/>
      <c r="X301" s="6"/>
    </row>
    <row r="302">
      <c r="A302" s="1" t="str">
        <f>IFERROR(__xludf.DUMMYFUNCTION("""COMPUTED_VALUE"""),"2407-267")</f>
        <v>2407-267</v>
      </c>
      <c r="B302" s="1" t="str">
        <f>IFERROR(__xludf.DUMMYFUNCTION("""COMPUTED_VALUE"""),"Huang-Yucca Valley - Ceiling Vault and Remodel")</f>
        <v>Huang-Yucca Valley - Ceiling Vault and Remodel</v>
      </c>
      <c r="C302" s="1" t="str">
        <f>IFERROR(__xludf.DUMMYFUNCTION("""COMPUTED_VALUE"""),"Abandoned,Expired")</f>
        <v>Abandoned,Expired</v>
      </c>
      <c r="D302" s="4">
        <f>IFERROR(__xludf.DUMMYFUNCTION("""COMPUTED_VALUE"""),840941.0)</f>
        <v>840941</v>
      </c>
      <c r="E302" s="5" t="s">
        <v>34</v>
      </c>
      <c r="J302" s="2" t="s">
        <v>35</v>
      </c>
      <c r="K302" s="2" t="s">
        <v>40</v>
      </c>
      <c r="L302" s="2" t="s">
        <v>32</v>
      </c>
      <c r="M302" s="5" t="s">
        <v>27</v>
      </c>
      <c r="N302" s="5" t="s">
        <v>27</v>
      </c>
      <c r="O302" s="5" t="s">
        <v>48</v>
      </c>
      <c r="S302" s="6"/>
      <c r="T302" s="6"/>
      <c r="U302" s="6"/>
      <c r="V302" s="6"/>
      <c r="W302" s="6"/>
      <c r="X302" s="6"/>
    </row>
    <row r="303">
      <c r="A303" s="1" t="str">
        <f>IFERROR(__xludf.DUMMYFUNCTION("""COMPUTED_VALUE"""),"2407-265")</f>
        <v>2407-265</v>
      </c>
      <c r="B303" s="1" t="str">
        <f>IFERROR(__xludf.DUMMYFUNCTION("""COMPUTED_VALUE"""),"Duan La Habra Land Use Appeal")</f>
        <v>Duan La Habra Land Use Appeal</v>
      </c>
      <c r="C303" s="1" t="str">
        <f>IFERROR(__xludf.DUMMYFUNCTION("""COMPUTED_VALUE"""),"Abandoned,Expired")</f>
        <v>Abandoned,Expired</v>
      </c>
      <c r="D303" s="4">
        <f>IFERROR(__xludf.DUMMYFUNCTION("""COMPUTED_VALUE"""),849335.0)</f>
        <v>849335</v>
      </c>
      <c r="E303" s="5" t="s">
        <v>34</v>
      </c>
      <c r="J303" s="2" t="s">
        <v>25</v>
      </c>
      <c r="K303" s="2" t="s">
        <v>50</v>
      </c>
      <c r="L303" s="2" t="s">
        <v>32</v>
      </c>
      <c r="M303" s="5" t="s">
        <v>27</v>
      </c>
      <c r="N303" s="5" t="s">
        <v>27</v>
      </c>
      <c r="O303" s="5" t="s">
        <v>24</v>
      </c>
      <c r="S303" s="6"/>
      <c r="T303" s="6"/>
      <c r="U303" s="6"/>
      <c r="V303" s="6"/>
      <c r="W303" s="6"/>
      <c r="X303" s="6"/>
    </row>
    <row r="304">
      <c r="A304" s="1" t="str">
        <f>IFERROR(__xludf.DUMMYFUNCTION("""COMPUTED_VALUE"""),"2406-266")</f>
        <v>2406-266</v>
      </c>
      <c r="B304" s="1" t="str">
        <f>IFERROR(__xludf.DUMMYFUNCTION("""COMPUTED_VALUE"""),"Tolan - Ojai - Office - Shed - Structural")</f>
        <v>Tolan - Ojai - Office - Shed - Structural</v>
      </c>
      <c r="C304" s="1" t="str">
        <f>IFERROR(__xludf.DUMMYFUNCTION("""COMPUTED_VALUE"""),"Approved - Construction Phase")</f>
        <v>Approved - Construction Phase</v>
      </c>
      <c r="D304" s="4">
        <f>IFERROR(__xludf.DUMMYFUNCTION("""COMPUTED_VALUE"""),842856.0)</f>
        <v>842856</v>
      </c>
      <c r="E304" s="5" t="s">
        <v>34</v>
      </c>
      <c r="J304" s="2" t="s">
        <v>47</v>
      </c>
      <c r="K304" s="2" t="s">
        <v>39</v>
      </c>
      <c r="L304" s="2" t="s">
        <v>36</v>
      </c>
      <c r="M304" s="5" t="s">
        <v>37</v>
      </c>
      <c r="N304" s="5" t="s">
        <v>37</v>
      </c>
      <c r="O304" s="5" t="s">
        <v>48</v>
      </c>
      <c r="S304" s="6"/>
      <c r="T304" s="6"/>
      <c r="U304" s="6"/>
      <c r="V304" s="6"/>
      <c r="W304" s="6"/>
      <c r="X304" s="6"/>
    </row>
    <row r="305">
      <c r="A305" s="1" t="str">
        <f>IFERROR(__xludf.DUMMYFUNCTION("""COMPUTED_VALUE"""),"2406-264")</f>
        <v>2406-264</v>
      </c>
      <c r="B305" s="1" t="str">
        <f>IFERROR(__xludf.DUMMYFUNCTION("""COMPUTED_VALUE"""),"Krauthoff - Torrance - ADU")</f>
        <v>Krauthoff - Torrance - ADU</v>
      </c>
      <c r="C305" s="1" t="str">
        <f>IFERROR(__xludf.DUMMYFUNCTION("""COMPUTED_VALUE"""),"A008.2 Architectural Comment Responses")</f>
        <v>A008.2 Architectural Comment Responses</v>
      </c>
      <c r="D305" s="4">
        <f>IFERROR(__xludf.DUMMYFUNCTION("""COMPUTED_VALUE"""),831432.0)</f>
        <v>831432</v>
      </c>
      <c r="E305" s="5" t="s">
        <v>34</v>
      </c>
      <c r="F305" s="2"/>
      <c r="J305" s="2" t="s">
        <v>42</v>
      </c>
      <c r="K305" s="2" t="s">
        <v>33</v>
      </c>
      <c r="L305" s="2" t="s">
        <v>50</v>
      </c>
      <c r="M305" s="5" t="s">
        <v>44</v>
      </c>
      <c r="N305" s="5" t="s">
        <v>24</v>
      </c>
      <c r="O305" s="5" t="s">
        <v>44</v>
      </c>
      <c r="S305" s="6"/>
      <c r="T305" s="6"/>
      <c r="U305" s="6"/>
      <c r="V305" s="3">
        <v>46006.05565023149</v>
      </c>
      <c r="W305" s="3">
        <v>46006.05279534722</v>
      </c>
      <c r="X305" s="6"/>
    </row>
    <row r="306">
      <c r="A306" s="1" t="str">
        <f>IFERROR(__xludf.DUMMYFUNCTION("""COMPUTED_VALUE"""),"2406-263")</f>
        <v>2406-263</v>
      </c>
      <c r="B306" s="1" t="str">
        <f>IFERROR(__xludf.DUMMYFUNCTION("""COMPUTED_VALUE"""),"Armstrong - Lakewood - Garage - ADU (2406-263)")</f>
        <v>Armstrong - Lakewood - Garage - ADU (2406-263)</v>
      </c>
      <c r="C306" s="1" t="str">
        <f>IFERROR(__xludf.DUMMYFUNCTION("""COMPUTED_VALUE"""),"Approved - Construction Phase")</f>
        <v>Approved - Construction Phase</v>
      </c>
      <c r="D306" s="4">
        <f>IFERROR(__xludf.DUMMYFUNCTION("""COMPUTED_VALUE"""),834942.0)</f>
        <v>834942</v>
      </c>
      <c r="E306" s="5" t="s">
        <v>20</v>
      </c>
      <c r="J306" s="2" t="s">
        <v>22</v>
      </c>
      <c r="K306" s="2" t="s">
        <v>26</v>
      </c>
      <c r="L306" s="2" t="s">
        <v>23</v>
      </c>
      <c r="M306" s="5" t="s">
        <v>24</v>
      </c>
      <c r="N306" s="5" t="s">
        <v>27</v>
      </c>
      <c r="O306" s="5" t="s">
        <v>24</v>
      </c>
      <c r="S306" s="6"/>
      <c r="T306" s="6"/>
      <c r="U306" s="6"/>
      <c r="V306" s="6"/>
      <c r="W306" s="6"/>
      <c r="X306" s="6"/>
    </row>
    <row r="307">
      <c r="A307" s="1" t="str">
        <f>IFERROR(__xludf.DUMMYFUNCTION("""COMPUTED_VALUE"""),"2406-262")</f>
        <v>2406-262</v>
      </c>
      <c r="B307" s="1" t="str">
        <f>IFERROR(__xludf.DUMMYFUNCTION("""COMPUTED_VALUE"""),"Robert - SD - Remodel and Addition")</f>
        <v>Robert - SD - Remodel and Addition</v>
      </c>
      <c r="C307" s="1" t="str">
        <f>IFERROR(__xludf.DUMMYFUNCTION("""COMPUTED_VALUE"""),"Abandoned,Expired")</f>
        <v>Abandoned,Expired</v>
      </c>
      <c r="D307" s="4">
        <f>IFERROR(__xludf.DUMMYFUNCTION("""COMPUTED_VALUE"""),832559.0)</f>
        <v>832559</v>
      </c>
      <c r="E307" s="5" t="s">
        <v>20</v>
      </c>
      <c r="J307" s="2" t="s">
        <v>39</v>
      </c>
      <c r="K307" s="2" t="s">
        <v>35</v>
      </c>
      <c r="L307" s="2" t="s">
        <v>25</v>
      </c>
      <c r="M307" s="5" t="s">
        <v>44</v>
      </c>
      <c r="N307" s="5" t="s">
        <v>37</v>
      </c>
      <c r="O307" s="5" t="s">
        <v>44</v>
      </c>
      <c r="S307" s="6"/>
      <c r="T307" s="6"/>
      <c r="U307" s="6"/>
      <c r="V307" s="6"/>
      <c r="W307" s="6"/>
      <c r="X307" s="6"/>
    </row>
    <row r="308">
      <c r="A308" s="1" t="str">
        <f>IFERROR(__xludf.DUMMYFUNCTION("""COMPUTED_VALUE"""),"2406-261")</f>
        <v>2406-261</v>
      </c>
      <c r="B308" s="1" t="str">
        <f>IFERROR(__xludf.DUMMYFUNCTION("""COMPUTED_VALUE"""),"Sherritt - Landers - Rehab")</f>
        <v>Sherritt - Landers - Rehab</v>
      </c>
      <c r="C308" s="1" t="str">
        <f>IFERROR(__xludf.DUMMYFUNCTION("""COMPUTED_VALUE"""),"A009 Resubmitted")</f>
        <v>A009 Resubmitted</v>
      </c>
      <c r="D308" s="4">
        <f>IFERROR(__xludf.DUMMYFUNCTION("""COMPUTED_VALUE"""),822285.0)</f>
        <v>822285</v>
      </c>
      <c r="E308" s="5" t="s">
        <v>34</v>
      </c>
      <c r="J308" s="2" t="s">
        <v>50</v>
      </c>
      <c r="K308" s="2" t="s">
        <v>51</v>
      </c>
      <c r="L308" s="2" t="s">
        <v>39</v>
      </c>
      <c r="M308" s="5" t="s">
        <v>44</v>
      </c>
      <c r="N308" s="5" t="s">
        <v>24</v>
      </c>
      <c r="O308" s="5" t="s">
        <v>44</v>
      </c>
      <c r="S308" s="6"/>
      <c r="T308" s="6"/>
      <c r="U308" s="6"/>
      <c r="V308" s="6"/>
      <c r="W308" s="6"/>
      <c r="X308" s="6"/>
    </row>
    <row r="309">
      <c r="A309" s="1" t="str">
        <f>IFERROR(__xludf.DUMMYFUNCTION("""COMPUTED_VALUE"""),"2406-260")</f>
        <v>2406-260</v>
      </c>
      <c r="B309" s="1" t="str">
        <f>IFERROR(__xludf.DUMMYFUNCTION("""COMPUTED_VALUE"""),"Andersen - San Diego - ADU &amp; JADU - Workshop")</f>
        <v>Andersen - San Diego - ADU &amp; JADU - Workshop</v>
      </c>
      <c r="C309" s="1" t="str">
        <f>IFERROR(__xludf.DUMMYFUNCTION("""COMPUTED_VALUE"""),"A008.2 Architectural Comment Responses")</f>
        <v>A008.2 Architectural Comment Responses</v>
      </c>
      <c r="D309" s="4">
        <f>IFERROR(__xludf.DUMMYFUNCTION("""COMPUTED_VALUE"""),825608.0)</f>
        <v>825608</v>
      </c>
      <c r="E309" s="5" t="s">
        <v>20</v>
      </c>
      <c r="J309" s="2" t="s">
        <v>50</v>
      </c>
      <c r="K309" s="2" t="s">
        <v>23</v>
      </c>
      <c r="L309" s="2" t="s">
        <v>42</v>
      </c>
      <c r="M309" s="5" t="s">
        <v>48</v>
      </c>
      <c r="N309" s="5" t="s">
        <v>44</v>
      </c>
      <c r="O309" s="5" t="s">
        <v>37</v>
      </c>
      <c r="S309" s="6"/>
      <c r="T309" s="6"/>
      <c r="U309" s="6"/>
      <c r="V309" s="6"/>
      <c r="W309" s="3">
        <v>46006.03382009259</v>
      </c>
      <c r="X309" s="6"/>
    </row>
    <row r="310">
      <c r="A310" s="1" t="str">
        <f>IFERROR(__xludf.DUMMYFUNCTION("""COMPUTED_VALUE"""),"2406-259")</f>
        <v>2406-259</v>
      </c>
      <c r="B310" s="1" t="str">
        <f>IFERROR(__xludf.DUMMYFUNCTION("""COMPUTED_VALUE"""),"Wirt - Malibu - Sea Wall - Structural")</f>
        <v>Wirt - Malibu - Sea Wall - Structural</v>
      </c>
      <c r="C310" s="1" t="str">
        <f>IFERROR(__xludf.DUMMYFUNCTION("""COMPUTED_VALUE"""),"Abandoned,Expired")</f>
        <v>Abandoned,Expired</v>
      </c>
      <c r="D310" s="4">
        <f>IFERROR(__xludf.DUMMYFUNCTION("""COMPUTED_VALUE"""),820454.0)</f>
        <v>820454</v>
      </c>
      <c r="E310" s="5" t="s">
        <v>34</v>
      </c>
      <c r="J310" s="2" t="s">
        <v>23</v>
      </c>
      <c r="K310" s="2" t="s">
        <v>25</v>
      </c>
      <c r="L310" s="2" t="s">
        <v>32</v>
      </c>
      <c r="M310" s="5" t="s">
        <v>37</v>
      </c>
      <c r="N310" s="5" t="s">
        <v>24</v>
      </c>
      <c r="O310" s="5" t="s">
        <v>27</v>
      </c>
      <c r="S310" s="6"/>
      <c r="T310" s="6"/>
      <c r="U310" s="6"/>
      <c r="V310" s="6"/>
      <c r="W310" s="6"/>
      <c r="X310" s="6"/>
    </row>
    <row r="311">
      <c r="A311" s="1" t="str">
        <f>IFERROR(__xludf.DUMMYFUNCTION("""COMPUTED_VALUE"""),"2406-258")</f>
        <v>2406-258</v>
      </c>
      <c r="B311" s="1" t="str">
        <f>IFERROR(__xludf.DUMMYFUNCTION("""COMPUTED_VALUE"""),"Chen - La Mesa - New Home &amp; ADU")</f>
        <v>Chen - La Mesa - New Home &amp; ADU</v>
      </c>
      <c r="C311" s="1" t="str">
        <f>IFERROR(__xludf.DUMMYFUNCTION("""COMPUTED_VALUE"""),"A008.2 Architectural Comment Responses")</f>
        <v>A008.2 Architectural Comment Responses</v>
      </c>
      <c r="D311" s="4">
        <f>IFERROR(__xludf.DUMMYFUNCTION("""COMPUTED_VALUE"""),815883.0)</f>
        <v>815883</v>
      </c>
      <c r="E311" s="5" t="s">
        <v>34</v>
      </c>
      <c r="J311" s="2" t="s">
        <v>50</v>
      </c>
      <c r="K311" s="2" t="s">
        <v>35</v>
      </c>
      <c r="L311" s="2" t="s">
        <v>23</v>
      </c>
      <c r="M311" s="5" t="s">
        <v>27</v>
      </c>
      <c r="N311" s="5" t="s">
        <v>24</v>
      </c>
      <c r="O311" s="5" t="s">
        <v>27</v>
      </c>
      <c r="S311" s="6"/>
      <c r="T311" s="6"/>
      <c r="U311" s="6"/>
      <c r="V311" s="6"/>
      <c r="W311" s="6"/>
      <c r="X311" s="6"/>
    </row>
    <row r="312">
      <c r="A312" s="1" t="str">
        <f>IFERROR(__xludf.DUMMYFUNCTION("""COMPUTED_VALUE"""),"2406-257")</f>
        <v>2406-257</v>
      </c>
      <c r="B312" s="1" t="str">
        <f>IFERROR(__xludf.DUMMYFUNCTION("""COMPUTED_VALUE"""),"Hunter - Ocean Beach - ADU &amp; JADU")</f>
        <v>Hunter - Ocean Beach - ADU &amp; JADU</v>
      </c>
      <c r="C312" s="1" t="str">
        <f>IFERROR(__xludf.DUMMYFUNCTION("""COMPUTED_VALUE"""),"Approved - Construction Phase")</f>
        <v>Approved - Construction Phase</v>
      </c>
      <c r="D312" s="4">
        <f>IFERROR(__xludf.DUMMYFUNCTION("""COMPUTED_VALUE"""),813370.0)</f>
        <v>813370</v>
      </c>
      <c r="E312" s="5" t="s">
        <v>20</v>
      </c>
      <c r="F312" s="2"/>
      <c r="J312" s="2" t="s">
        <v>25</v>
      </c>
      <c r="K312" s="2" t="s">
        <v>35</v>
      </c>
      <c r="L312" s="2" t="s">
        <v>23</v>
      </c>
      <c r="M312" s="5" t="s">
        <v>48</v>
      </c>
      <c r="N312" s="5" t="s">
        <v>27</v>
      </c>
      <c r="O312" s="5" t="s">
        <v>44</v>
      </c>
      <c r="S312" s="3">
        <v>46006.069965243056</v>
      </c>
      <c r="T312" s="6"/>
      <c r="U312" s="6"/>
      <c r="V312" s="3">
        <v>46005.445947326385</v>
      </c>
      <c r="W312" s="3">
        <v>46005.445997083334</v>
      </c>
      <c r="X312" s="6"/>
    </row>
    <row r="313">
      <c r="A313" s="1" t="str">
        <f>IFERROR(__xludf.DUMMYFUNCTION("""COMPUTED_VALUE"""),"2406-256")</f>
        <v>2406-256</v>
      </c>
      <c r="B313" s="1" t="str">
        <f>IFERROR(__xludf.DUMMYFUNCTION("""COMPUTED_VALUE"""),"Pedram - Palm Springs - New Home &amp; ADU")</f>
        <v>Pedram - Palm Springs - New Home &amp; ADU</v>
      </c>
      <c r="C313" s="1" t="str">
        <f>IFERROR(__xludf.DUMMYFUNCTION("""COMPUTED_VALUE"""),"Abandoned,Expired")</f>
        <v>Abandoned,Expired</v>
      </c>
      <c r="D313" s="4">
        <f>IFERROR(__xludf.DUMMYFUNCTION("""COMPUTED_VALUE"""),815875.0)</f>
        <v>815875</v>
      </c>
      <c r="E313" s="5" t="s">
        <v>20</v>
      </c>
      <c r="J313" s="2" t="s">
        <v>32</v>
      </c>
      <c r="K313" s="2" t="s">
        <v>26</v>
      </c>
      <c r="L313" s="2" t="s">
        <v>47</v>
      </c>
      <c r="M313" s="5" t="s">
        <v>44</v>
      </c>
      <c r="N313" s="5" t="s">
        <v>27</v>
      </c>
      <c r="O313" s="5" t="s">
        <v>48</v>
      </c>
      <c r="S313" s="6"/>
      <c r="T313" s="6"/>
      <c r="U313" s="6"/>
      <c r="V313" s="6"/>
      <c r="W313" s="3">
        <v>46006.03384827546</v>
      </c>
      <c r="X313" s="6"/>
    </row>
    <row r="314">
      <c r="A314" s="1" t="str">
        <f>IFERROR(__xludf.DUMMYFUNCTION("""COMPUTED_VALUE"""),"2406-254")</f>
        <v>2406-254</v>
      </c>
      <c r="B314" s="1" t="str">
        <f>IFERROR(__xludf.DUMMYFUNCTION("""COMPUTED_VALUE"""),"Beer - El Cajon - ADU")</f>
        <v>Beer - El Cajon - ADU</v>
      </c>
      <c r="C314" s="1" t="str">
        <f>IFERROR(__xludf.DUMMYFUNCTION("""COMPUTED_VALUE"""),"A009 Resubmitted")</f>
        <v>A009 Resubmitted</v>
      </c>
      <c r="D314" s="4">
        <f>IFERROR(__xludf.DUMMYFUNCTION("""COMPUTED_VALUE"""),819290.0)</f>
        <v>819290</v>
      </c>
      <c r="E314" s="5" t="s">
        <v>20</v>
      </c>
      <c r="J314" s="2" t="s">
        <v>22</v>
      </c>
      <c r="K314" s="2" t="s">
        <v>36</v>
      </c>
      <c r="L314" s="2" t="s">
        <v>25</v>
      </c>
      <c r="M314" s="5" t="s">
        <v>37</v>
      </c>
      <c r="N314" s="5" t="s">
        <v>48</v>
      </c>
      <c r="O314" s="5" t="s">
        <v>37</v>
      </c>
      <c r="S314" s="6"/>
      <c r="T314" s="6"/>
      <c r="U314" s="6"/>
      <c r="V314" s="6"/>
      <c r="W314" s="6"/>
      <c r="X314" s="6"/>
    </row>
    <row r="315">
      <c r="A315" s="1" t="str">
        <f>IFERROR(__xludf.DUMMYFUNCTION("""COMPUTED_VALUE"""),"2406-253")</f>
        <v>2406-253</v>
      </c>
      <c r="B315" s="1" t="str">
        <f>IFERROR(__xludf.DUMMYFUNCTION("""COMPUTED_VALUE"""),"Judd - Ventura - Remodel")</f>
        <v>Judd - Ventura - Remodel</v>
      </c>
      <c r="C315" s="1" t="str">
        <f>IFERROR(__xludf.DUMMYFUNCTION("""COMPUTED_VALUE"""),"Approved - Construction Phase")</f>
        <v>Approved - Construction Phase</v>
      </c>
      <c r="D315" s="4">
        <f>IFERROR(__xludf.DUMMYFUNCTION("""COMPUTED_VALUE"""),815842.0)</f>
        <v>815842</v>
      </c>
      <c r="E315" s="5" t="s">
        <v>20</v>
      </c>
      <c r="J315" s="2" t="s">
        <v>47</v>
      </c>
      <c r="K315" s="2" t="s">
        <v>33</v>
      </c>
      <c r="L315" s="2" t="s">
        <v>33</v>
      </c>
      <c r="M315" s="5" t="s">
        <v>24</v>
      </c>
      <c r="N315" s="5" t="s">
        <v>24</v>
      </c>
      <c r="O315" s="5" t="s">
        <v>37</v>
      </c>
      <c r="S315" s="6"/>
      <c r="T315" s="6"/>
      <c r="U315" s="6"/>
      <c r="V315" s="6"/>
      <c r="W315" s="3">
        <v>46006.01198113426</v>
      </c>
      <c r="X315" s="6"/>
    </row>
    <row r="316">
      <c r="A316" s="1" t="str">
        <f>IFERROR(__xludf.DUMMYFUNCTION("""COMPUTED_VALUE"""),"2406-252")</f>
        <v>2406-252</v>
      </c>
      <c r="B316" s="1" t="str">
        <f>IFERROR(__xludf.DUMMYFUNCTION("""COMPUTED_VALUE"""),"Suner - Fontana - Sunroom - Structrual")</f>
        <v>Suner - Fontana - Sunroom - Structrual</v>
      </c>
      <c r="C316" s="1" t="str">
        <f>IFERROR(__xludf.DUMMYFUNCTION("""COMPUTED_VALUE"""),"Approved - Construction Phase")</f>
        <v>Approved - Construction Phase</v>
      </c>
      <c r="D316" s="4">
        <f>IFERROR(__xludf.DUMMYFUNCTION("""COMPUTED_VALUE"""),810206.0)</f>
        <v>810206</v>
      </c>
      <c r="E316" s="5" t="s">
        <v>20</v>
      </c>
      <c r="J316" s="2" t="s">
        <v>47</v>
      </c>
      <c r="K316" s="2" t="s">
        <v>40</v>
      </c>
      <c r="L316" s="2" t="s">
        <v>39</v>
      </c>
      <c r="M316" s="5" t="s">
        <v>44</v>
      </c>
      <c r="N316" s="5" t="s">
        <v>27</v>
      </c>
      <c r="O316" s="5" t="s">
        <v>27</v>
      </c>
      <c r="S316" s="6"/>
      <c r="T316" s="6"/>
      <c r="U316" s="6"/>
      <c r="V316" s="6"/>
      <c r="W316" s="6"/>
      <c r="X316" s="6"/>
    </row>
    <row r="317">
      <c r="A317" s="1" t="str">
        <f>IFERROR(__xludf.DUMMYFUNCTION("""COMPUTED_VALUE"""),"2406-251")</f>
        <v>2406-251</v>
      </c>
      <c r="B317" s="1" t="str">
        <f>IFERROR(__xludf.DUMMYFUNCTION("""COMPUTED_VALUE"""),"Omer - San Diego - Kitchen - TI")</f>
        <v>Omer - San Diego - Kitchen - TI</v>
      </c>
      <c r="C317" s="1" t="str">
        <f>IFERROR(__xludf.DUMMYFUNCTION("""COMPUTED_VALUE"""),"A008.8 Pending Resubmittal")</f>
        <v>A008.8 Pending Resubmittal</v>
      </c>
      <c r="D317" s="4">
        <f>IFERROR(__xludf.DUMMYFUNCTION("""COMPUTED_VALUE"""),819889.0)</f>
        <v>819889</v>
      </c>
      <c r="E317" s="5" t="s">
        <v>20</v>
      </c>
      <c r="J317" s="2" t="s">
        <v>36</v>
      </c>
      <c r="K317" s="2" t="s">
        <v>35</v>
      </c>
      <c r="L317" s="2" t="s">
        <v>36</v>
      </c>
      <c r="M317" s="5" t="s">
        <v>24</v>
      </c>
      <c r="N317" s="5" t="s">
        <v>37</v>
      </c>
      <c r="O317" s="5" t="s">
        <v>44</v>
      </c>
      <c r="S317" s="6"/>
      <c r="T317" s="6"/>
      <c r="U317" s="6"/>
      <c r="V317" s="6"/>
      <c r="W317" s="3">
        <v>46006.06861509259</v>
      </c>
      <c r="X317" s="6"/>
    </row>
    <row r="318">
      <c r="A318" s="1" t="str">
        <f>IFERROR(__xludf.DUMMYFUNCTION("""COMPUTED_VALUE"""),"2405-250")</f>
        <v>2405-250</v>
      </c>
      <c r="B318" s="1" t="str">
        <f>IFERROR(__xludf.DUMMYFUNCTION("""COMPUTED_VALUE"""),"O&amp;apos;Leary - Ventura - Remodel")</f>
        <v>O&amp;apos;Leary - Ventura - Remodel</v>
      </c>
      <c r="C318" s="1" t="str">
        <f>IFERROR(__xludf.DUMMYFUNCTION("""COMPUTED_VALUE"""),"Approved - Construction Phase")</f>
        <v>Approved - Construction Phase</v>
      </c>
      <c r="D318" s="4">
        <f>IFERROR(__xludf.DUMMYFUNCTION("""COMPUTED_VALUE"""),799457.0)</f>
        <v>799457</v>
      </c>
      <c r="E318" s="5" t="s">
        <v>34</v>
      </c>
      <c r="J318" s="2" t="s">
        <v>40</v>
      </c>
      <c r="K318" s="2" t="s">
        <v>36</v>
      </c>
      <c r="L318" s="2" t="s">
        <v>51</v>
      </c>
      <c r="M318" s="5" t="s">
        <v>44</v>
      </c>
      <c r="N318" s="5" t="s">
        <v>48</v>
      </c>
      <c r="O318" s="5" t="s">
        <v>27</v>
      </c>
      <c r="S318" s="6"/>
      <c r="T318" s="6"/>
      <c r="U318" s="6"/>
      <c r="V318" s="6"/>
      <c r="W318" s="6"/>
      <c r="X318" s="6"/>
    </row>
    <row r="319">
      <c r="A319" s="1" t="str">
        <f>IFERROR(__xludf.DUMMYFUNCTION("""COMPUTED_VALUE"""),"2405-249")</f>
        <v>2405-249</v>
      </c>
      <c r="B319" s="1" t="str">
        <f>IFERROR(__xludf.DUMMYFUNCTION("""COMPUTED_VALUE"""),"Fishman Porch Construction Docs")</f>
        <v>Fishman Porch Construction Docs</v>
      </c>
      <c r="C319" s="1" t="str">
        <f>IFERROR(__xludf.DUMMYFUNCTION("""COMPUTED_VALUE"""),"Completed - Sent to Client")</f>
        <v>Completed - Sent to Client</v>
      </c>
      <c r="D319" s="4">
        <f>IFERROR(__xludf.DUMMYFUNCTION("""COMPUTED_VALUE"""),799039.0)</f>
        <v>799039</v>
      </c>
      <c r="E319" s="5" t="s">
        <v>34</v>
      </c>
      <c r="J319" s="2" t="s">
        <v>25</v>
      </c>
      <c r="K319" s="2" t="s">
        <v>25</v>
      </c>
      <c r="L319" s="2" t="s">
        <v>32</v>
      </c>
      <c r="M319" s="5" t="s">
        <v>24</v>
      </c>
      <c r="N319" s="5" t="s">
        <v>27</v>
      </c>
      <c r="O319" s="5" t="s">
        <v>24</v>
      </c>
      <c r="S319" s="6"/>
      <c r="T319" s="6"/>
      <c r="U319" s="6"/>
      <c r="V319" s="6"/>
      <c r="W319" s="6"/>
      <c r="X319" s="6"/>
    </row>
    <row r="320">
      <c r="A320" s="1" t="str">
        <f>IFERROR(__xludf.DUMMYFUNCTION("""COMPUTED_VALUE"""),"2405-248")</f>
        <v>2405-248</v>
      </c>
      <c r="B320" s="1" t="str">
        <f>IFERROR(__xludf.DUMMYFUNCTION("""COMPUTED_VALUE"""),"Kelly - Los Angeles - Balcony Repair Plans")</f>
        <v>Kelly - Los Angeles - Balcony Repair Plans</v>
      </c>
      <c r="C320" s="1" t="str">
        <f>IFERROR(__xludf.DUMMYFUNCTION("""COMPUTED_VALUE"""),"Approved - Construction Phase")</f>
        <v>Approved - Construction Phase</v>
      </c>
      <c r="D320" s="4">
        <f>IFERROR(__xludf.DUMMYFUNCTION("""COMPUTED_VALUE"""),799443.0)</f>
        <v>799443</v>
      </c>
      <c r="E320" s="5" t="s">
        <v>20</v>
      </c>
      <c r="J320" s="2" t="s">
        <v>43</v>
      </c>
      <c r="K320" s="2" t="s">
        <v>33</v>
      </c>
      <c r="L320" s="2" t="s">
        <v>51</v>
      </c>
      <c r="M320" s="5" t="s">
        <v>48</v>
      </c>
      <c r="N320" s="5" t="s">
        <v>37</v>
      </c>
      <c r="O320" s="5" t="s">
        <v>48</v>
      </c>
      <c r="S320" s="6"/>
      <c r="T320" s="6"/>
      <c r="U320" s="6"/>
      <c r="V320" s="6"/>
      <c r="W320" s="6"/>
      <c r="X320" s="6"/>
    </row>
    <row r="321">
      <c r="A321" s="1" t="str">
        <f>IFERROR(__xludf.DUMMYFUNCTION("""COMPUTED_VALUE"""),"2405-246")</f>
        <v>2405-246</v>
      </c>
      <c r="B321" s="1" t="str">
        <f>IFERROR(__xludf.DUMMYFUNCTION("""COMPUTED_VALUE"""),"TMK Steel Beam Calcs")</f>
        <v>TMK Steel Beam Calcs</v>
      </c>
      <c r="C321" s="1" t="str">
        <f>IFERROR(__xludf.DUMMYFUNCTION("""COMPUTED_VALUE"""),"Abandoned,Expired")</f>
        <v>Abandoned,Expired</v>
      </c>
      <c r="D321" s="4">
        <f>IFERROR(__xludf.DUMMYFUNCTION("""COMPUTED_VALUE"""),794143.0)</f>
        <v>794143</v>
      </c>
      <c r="E321" s="5" t="s">
        <v>20</v>
      </c>
      <c r="J321" s="2" t="s">
        <v>35</v>
      </c>
      <c r="K321" s="2" t="s">
        <v>47</v>
      </c>
      <c r="L321" s="2" t="s">
        <v>33</v>
      </c>
      <c r="M321" s="5" t="s">
        <v>27</v>
      </c>
      <c r="N321" s="5" t="s">
        <v>44</v>
      </c>
      <c r="O321" s="5" t="s">
        <v>48</v>
      </c>
      <c r="S321" s="6"/>
      <c r="T321" s="6"/>
      <c r="U321" s="6"/>
      <c r="V321" s="6"/>
      <c r="W321" s="3">
        <v>46006.052718680556</v>
      </c>
      <c r="X321" s="6"/>
    </row>
    <row r="322">
      <c r="A322" s="1" t="str">
        <f>IFERROR(__xludf.DUMMYFUNCTION("""COMPUTED_VALUE"""),"2405-245")</f>
        <v>2405-245</v>
      </c>
      <c r="B322" s="1" t="str">
        <f>IFERROR(__xludf.DUMMYFUNCTION("""COMPUTED_VALUE"""),"Duran - Simi Valley - Banquet Hall")</f>
        <v>Duran - Simi Valley - Banquet Hall</v>
      </c>
      <c r="C322" s="1" t="str">
        <f>IFERROR(__xludf.DUMMYFUNCTION("""COMPUTED_VALUE"""),"Completed - Sent to Client")</f>
        <v>Completed - Sent to Client</v>
      </c>
      <c r="D322" s="4">
        <f>IFERROR(__xludf.DUMMYFUNCTION("""COMPUTED_VALUE"""),788160.0)</f>
        <v>788160</v>
      </c>
      <c r="E322" s="5" t="s">
        <v>34</v>
      </c>
      <c r="J322" s="2" t="s">
        <v>26</v>
      </c>
      <c r="K322" s="2" t="s">
        <v>49</v>
      </c>
      <c r="L322" s="2" t="s">
        <v>25</v>
      </c>
      <c r="M322" s="5" t="s">
        <v>27</v>
      </c>
      <c r="N322" s="5" t="s">
        <v>48</v>
      </c>
      <c r="O322" s="5" t="s">
        <v>24</v>
      </c>
      <c r="S322" s="6"/>
      <c r="T322" s="6"/>
      <c r="U322" s="6"/>
      <c r="V322" s="6"/>
      <c r="W322" s="6"/>
      <c r="X322" s="6"/>
    </row>
    <row r="323">
      <c r="A323" s="1" t="str">
        <f>IFERROR(__xludf.DUMMYFUNCTION("""COMPUTED_VALUE"""),"2405-127")</f>
        <v>2405-127</v>
      </c>
      <c r="B323" s="1" t="str">
        <f>IFERROR(__xludf.DUMMYFUNCTION("""COMPUTED_VALUE"""),"Daza-OC-Home Scan")</f>
        <v>Daza-OC-Home Scan</v>
      </c>
      <c r="C323" s="1" t="str">
        <f>IFERROR(__xludf.DUMMYFUNCTION("""COMPUTED_VALUE"""),"Abandoned,Expired")</f>
        <v>Abandoned,Expired</v>
      </c>
      <c r="D323" s="4">
        <f>IFERROR(__xludf.DUMMYFUNCTION("""COMPUTED_VALUE"""),835015.0)</f>
        <v>835015</v>
      </c>
      <c r="E323" s="5" t="s">
        <v>34</v>
      </c>
      <c r="J323" s="2" t="s">
        <v>25</v>
      </c>
      <c r="K323" s="2" t="s">
        <v>32</v>
      </c>
      <c r="L323" s="2" t="s">
        <v>40</v>
      </c>
      <c r="M323" s="5" t="s">
        <v>27</v>
      </c>
      <c r="N323" s="5" t="s">
        <v>24</v>
      </c>
      <c r="O323" s="5" t="s">
        <v>37</v>
      </c>
      <c r="S323" s="6"/>
      <c r="T323" s="6"/>
      <c r="U323" s="6"/>
      <c r="V323" s="6"/>
      <c r="W323" s="6"/>
      <c r="X323" s="6"/>
    </row>
    <row r="324">
      <c r="A324" s="1" t="str">
        <f>IFERROR(__xludf.DUMMYFUNCTION("""COMPUTED_VALUE"""),"2404-244")</f>
        <v>2404-244</v>
      </c>
      <c r="B324" s="1" t="str">
        <f>IFERROR(__xludf.DUMMYFUNCTION("""COMPUTED_VALUE"""),"Blacker - Los Angeles - Design Plans")</f>
        <v>Blacker - Los Angeles - Design Plans</v>
      </c>
      <c r="C324" s="1" t="str">
        <f>IFERROR(__xludf.DUMMYFUNCTION("""COMPUTED_VALUE"""),"Approved - Construction Phase")</f>
        <v>Approved - Construction Phase</v>
      </c>
      <c r="D324" s="4">
        <f>IFERROR(__xludf.DUMMYFUNCTION("""COMPUTED_VALUE"""),783827.0)</f>
        <v>783827</v>
      </c>
      <c r="E324" s="5" t="s">
        <v>20</v>
      </c>
      <c r="F324" s="2"/>
      <c r="J324" s="2" t="s">
        <v>36</v>
      </c>
      <c r="K324" s="2" t="s">
        <v>23</v>
      </c>
      <c r="L324" s="2" t="s">
        <v>43</v>
      </c>
      <c r="M324" s="5" t="s">
        <v>37</v>
      </c>
      <c r="N324" s="5" t="s">
        <v>48</v>
      </c>
      <c r="O324" s="5" t="s">
        <v>48</v>
      </c>
      <c r="S324" s="6"/>
      <c r="T324" s="3">
        <v>46005.20140090278</v>
      </c>
      <c r="U324" s="6"/>
      <c r="V324" s="3">
        <v>46006.04253898148</v>
      </c>
      <c r="W324" s="3">
        <v>46006.020059525465</v>
      </c>
      <c r="X324" s="6"/>
    </row>
    <row r="325">
      <c r="A325" s="1" t="str">
        <f>IFERROR(__xludf.DUMMYFUNCTION("""COMPUTED_VALUE"""),"2404-243")</f>
        <v>2404-243</v>
      </c>
      <c r="B325" s="1" t="str">
        <f>IFERROR(__xludf.DUMMYFUNCTION("""COMPUTED_VALUE"""),"Rodriguez - El Cajon - ADU Struc")</f>
        <v>Rodriguez - El Cajon - ADU Struc</v>
      </c>
      <c r="C325" s="1" t="str">
        <f>IFERROR(__xludf.DUMMYFUNCTION("""COMPUTED_VALUE"""),"Approved - Construction Phase")</f>
        <v>Approved - Construction Phase</v>
      </c>
      <c r="D325" s="4">
        <f>IFERROR(__xludf.DUMMYFUNCTION("""COMPUTED_VALUE"""),783784.0)</f>
        <v>783784</v>
      </c>
      <c r="E325" s="5" t="s">
        <v>34</v>
      </c>
      <c r="J325" s="2" t="s">
        <v>39</v>
      </c>
      <c r="K325" s="2" t="s">
        <v>42</v>
      </c>
      <c r="L325" s="2" t="s">
        <v>42</v>
      </c>
      <c r="M325" s="5" t="s">
        <v>27</v>
      </c>
      <c r="N325" s="5" t="s">
        <v>27</v>
      </c>
      <c r="O325" s="5" t="s">
        <v>37</v>
      </c>
      <c r="S325" s="3">
        <v>46005.22156989583</v>
      </c>
      <c r="T325" s="6"/>
      <c r="U325" s="6"/>
      <c r="V325" s="6"/>
      <c r="W325" s="3">
        <v>46006.01171502315</v>
      </c>
      <c r="X325" s="6"/>
    </row>
    <row r="326">
      <c r="A326" s="1" t="str">
        <f>IFERROR(__xludf.DUMMYFUNCTION("""COMPUTED_VALUE"""),"2404-242")</f>
        <v>2404-242</v>
      </c>
      <c r="B326" s="1" t="str">
        <f>IFERROR(__xludf.DUMMYFUNCTION("""COMPUTED_VALUE"""),"Callen-Poway-Outdoor Kitchen")</f>
        <v>Callen-Poway-Outdoor Kitchen</v>
      </c>
      <c r="C326" s="1" t="str">
        <f>IFERROR(__xludf.DUMMYFUNCTION("""COMPUTED_VALUE"""),"Abandoned,Expired")</f>
        <v>Abandoned,Expired</v>
      </c>
      <c r="D326" s="4">
        <f>IFERROR(__xludf.DUMMYFUNCTION("""COMPUTED_VALUE"""),772020.0)</f>
        <v>772020</v>
      </c>
      <c r="E326" s="5" t="s">
        <v>34</v>
      </c>
      <c r="J326" s="2" t="s">
        <v>23</v>
      </c>
      <c r="K326" s="2" t="s">
        <v>43</v>
      </c>
      <c r="L326" s="2" t="s">
        <v>42</v>
      </c>
      <c r="M326" s="5" t="s">
        <v>44</v>
      </c>
      <c r="N326" s="5" t="s">
        <v>27</v>
      </c>
      <c r="O326" s="5" t="s">
        <v>27</v>
      </c>
      <c r="S326" s="6"/>
      <c r="T326" s="6"/>
      <c r="U326" s="6"/>
      <c r="V326" s="6"/>
      <c r="W326" s="6"/>
      <c r="X326" s="6"/>
    </row>
    <row r="327">
      <c r="A327" s="1" t="str">
        <f>IFERROR(__xludf.DUMMYFUNCTION("""COMPUTED_VALUE"""),"2404-241")</f>
        <v>2404-241</v>
      </c>
      <c r="B327" s="1" t="str">
        <f>IFERROR(__xludf.DUMMYFUNCTION("""COMPUTED_VALUE"""),"Bendett - Los Angeles - Vaulted Ceiling")</f>
        <v>Bendett - Los Angeles - Vaulted Ceiling</v>
      </c>
      <c r="C327" s="1" t="str">
        <f>IFERROR(__xludf.DUMMYFUNCTION("""COMPUTED_VALUE"""),"Completed - Sent to Client")</f>
        <v>Completed - Sent to Client</v>
      </c>
      <c r="D327" s="4">
        <f>IFERROR(__xludf.DUMMYFUNCTION("""COMPUTED_VALUE"""),783774.0)</f>
        <v>783774</v>
      </c>
      <c r="E327" s="5" t="s">
        <v>34</v>
      </c>
      <c r="F327" s="2"/>
      <c r="J327" s="2" t="s">
        <v>22</v>
      </c>
      <c r="K327" s="2" t="s">
        <v>32</v>
      </c>
      <c r="L327" s="2" t="s">
        <v>35</v>
      </c>
      <c r="M327" s="2" t="s">
        <v>24</v>
      </c>
      <c r="N327" s="5" t="s">
        <v>24</v>
      </c>
      <c r="O327" s="5" t="s">
        <v>48</v>
      </c>
      <c r="S327" s="3">
        <v>46006.384549386574</v>
      </c>
      <c r="T327" s="6"/>
      <c r="U327" s="6"/>
      <c r="V327" s="3">
        <v>46006.0116797338</v>
      </c>
      <c r="W327" s="3">
        <v>46005.3703747338</v>
      </c>
      <c r="X327" s="6"/>
    </row>
    <row r="328">
      <c r="A328" s="1" t="str">
        <f>IFERROR(__xludf.DUMMYFUNCTION("""COMPUTED_VALUE"""),"2404-240")</f>
        <v>2404-240</v>
      </c>
      <c r="B328" s="1" t="str">
        <f>IFERROR(__xludf.DUMMYFUNCTION("""COMPUTED_VALUE"""),"Yeung - San Diego - ADU Conversion")</f>
        <v>Yeung - San Diego - ADU Conversion</v>
      </c>
      <c r="C328" s="1" t="str">
        <f>IFERROR(__xludf.DUMMYFUNCTION("""COMPUTED_VALUE"""),"Approved - Construction Phase")</f>
        <v>Approved - Construction Phase</v>
      </c>
      <c r="D328" s="4">
        <f>IFERROR(__xludf.DUMMYFUNCTION("""COMPUTED_VALUE"""),769212.0)</f>
        <v>769212</v>
      </c>
      <c r="E328" s="5" t="s">
        <v>20</v>
      </c>
      <c r="J328" s="2" t="s">
        <v>39</v>
      </c>
      <c r="K328" s="2" t="s">
        <v>47</v>
      </c>
      <c r="L328" s="2" t="s">
        <v>49</v>
      </c>
      <c r="M328" s="5" t="s">
        <v>44</v>
      </c>
      <c r="N328" s="5" t="s">
        <v>27</v>
      </c>
      <c r="O328" s="5" t="s">
        <v>24</v>
      </c>
      <c r="S328" s="6"/>
      <c r="T328" s="6"/>
      <c r="U328" s="6"/>
      <c r="V328" s="6"/>
      <c r="W328" s="6"/>
      <c r="X328" s="6"/>
    </row>
    <row r="329">
      <c r="A329" s="1" t="str">
        <f>IFERROR(__xludf.DUMMYFUNCTION("""COMPUTED_VALUE"""),"2404-239")</f>
        <v>2404-239</v>
      </c>
      <c r="B329" s="1" t="str">
        <f>IFERROR(__xludf.DUMMYFUNCTION("""COMPUTED_VALUE"""),"Kaufman - Costa Mesa - Big Modern Remodel")</f>
        <v>Kaufman - Costa Mesa - Big Modern Remodel</v>
      </c>
      <c r="C329" s="1" t="str">
        <f>IFERROR(__xludf.DUMMYFUNCTION("""COMPUTED_VALUE"""),"A009 Resubmitted")</f>
        <v>A009 Resubmitted</v>
      </c>
      <c r="D329" s="4">
        <f>IFERROR(__xludf.DUMMYFUNCTION("""COMPUTED_VALUE"""),768744.0)</f>
        <v>768744</v>
      </c>
      <c r="E329" s="5" t="s">
        <v>34</v>
      </c>
      <c r="J329" s="2" t="s">
        <v>50</v>
      </c>
      <c r="K329" s="2" t="s">
        <v>35</v>
      </c>
      <c r="L329" s="2" t="s">
        <v>26</v>
      </c>
      <c r="M329" s="5" t="s">
        <v>27</v>
      </c>
      <c r="N329" s="5" t="s">
        <v>48</v>
      </c>
      <c r="O329" s="5" t="s">
        <v>44</v>
      </c>
      <c r="S329" s="6"/>
      <c r="T329" s="6"/>
      <c r="U329" s="6"/>
      <c r="V329" s="6"/>
      <c r="W329" s="3">
        <v>46006.042509872685</v>
      </c>
      <c r="X329" s="6"/>
    </row>
    <row r="330">
      <c r="A330" s="1" t="str">
        <f>IFERROR(__xludf.DUMMYFUNCTION("""COMPUTED_VALUE"""),"2404-238")</f>
        <v>2404-238</v>
      </c>
      <c r="B330" s="1" t="str">
        <f>IFERROR(__xludf.DUMMYFUNCTION("""COMPUTED_VALUE"""),"Mitchell - Idyllwild - Resort Mapping and As Builts")</f>
        <v>Mitchell - Idyllwild - Resort Mapping and As Builts</v>
      </c>
      <c r="C330" s="1" t="str">
        <f>IFERROR(__xludf.DUMMYFUNCTION("""COMPUTED_VALUE"""),"Approved - Construction Phase")</f>
        <v>Approved - Construction Phase</v>
      </c>
      <c r="D330" s="4">
        <f>IFERROR(__xludf.DUMMYFUNCTION("""COMPUTED_VALUE"""),768741.0)</f>
        <v>768741</v>
      </c>
      <c r="E330" s="5" t="s">
        <v>34</v>
      </c>
      <c r="J330" s="2" t="s">
        <v>33</v>
      </c>
      <c r="K330" s="2" t="s">
        <v>25</v>
      </c>
      <c r="L330" s="2" t="s">
        <v>39</v>
      </c>
      <c r="M330" s="5" t="s">
        <v>48</v>
      </c>
      <c r="N330" s="5" t="s">
        <v>24</v>
      </c>
      <c r="O330" s="5" t="s">
        <v>37</v>
      </c>
      <c r="S330" s="6"/>
      <c r="T330" s="6"/>
      <c r="U330" s="6"/>
      <c r="V330" s="6"/>
      <c r="W330" s="6"/>
      <c r="X330" s="6"/>
    </row>
    <row r="331">
      <c r="A331" s="1" t="str">
        <f>IFERROR(__xludf.DUMMYFUNCTION("""COMPUTED_VALUE"""),"2404-237")</f>
        <v>2404-237</v>
      </c>
      <c r="B331" s="1" t="str">
        <f>IFERROR(__xludf.DUMMYFUNCTION("""COMPUTED_VALUE"""),"Vantassle - Bakersfield - Kitchen Remodel")</f>
        <v>Vantassle - Bakersfield - Kitchen Remodel</v>
      </c>
      <c r="C331" s="1" t="str">
        <f>IFERROR(__xludf.DUMMYFUNCTION("""COMPUTED_VALUE"""),"Approved - Construction Phase")</f>
        <v>Approved - Construction Phase</v>
      </c>
      <c r="D331" s="4">
        <f>IFERROR(__xludf.DUMMYFUNCTION("""COMPUTED_VALUE"""),768738.0)</f>
        <v>768738</v>
      </c>
      <c r="E331" s="5" t="s">
        <v>20</v>
      </c>
      <c r="J331" s="2" t="s">
        <v>35</v>
      </c>
      <c r="K331" s="2" t="s">
        <v>50</v>
      </c>
      <c r="L331" s="2" t="s">
        <v>39</v>
      </c>
      <c r="M331" s="5" t="s">
        <v>24</v>
      </c>
      <c r="N331" s="5" t="s">
        <v>24</v>
      </c>
      <c r="O331" s="5" t="s">
        <v>37</v>
      </c>
      <c r="S331" s="6"/>
      <c r="T331" s="6"/>
      <c r="U331" s="6"/>
      <c r="V331" s="6"/>
      <c r="W331" s="6"/>
      <c r="X331" s="6"/>
    </row>
    <row r="332">
      <c r="A332" s="1" t="str">
        <f>IFERROR(__xludf.DUMMYFUNCTION("""COMPUTED_VALUE"""),"2404-236")</f>
        <v>2404-236</v>
      </c>
      <c r="B332" s="1" t="str">
        <f>IFERROR(__xludf.DUMMYFUNCTION("""COMPUTED_VALUE"""),"Anderson - Camarillo - Kitchen Remodel")</f>
        <v>Anderson - Camarillo - Kitchen Remodel</v>
      </c>
      <c r="C332" s="1" t="str">
        <f>IFERROR(__xludf.DUMMYFUNCTION("""COMPUTED_VALUE"""),"Approved - Construction Phase")</f>
        <v>Approved - Construction Phase</v>
      </c>
      <c r="D332" s="4">
        <f>IFERROR(__xludf.DUMMYFUNCTION("""COMPUTED_VALUE"""),768732.0)</f>
        <v>768732</v>
      </c>
      <c r="E332" s="5" t="s">
        <v>34</v>
      </c>
      <c r="J332" s="2" t="s">
        <v>36</v>
      </c>
      <c r="K332" s="2" t="s">
        <v>39</v>
      </c>
      <c r="L332" s="2" t="s">
        <v>51</v>
      </c>
      <c r="M332" s="5" t="s">
        <v>48</v>
      </c>
      <c r="N332" s="5" t="s">
        <v>48</v>
      </c>
      <c r="O332" s="5" t="s">
        <v>44</v>
      </c>
      <c r="S332" s="6"/>
      <c r="T332" s="6"/>
      <c r="U332" s="6"/>
      <c r="V332" s="6"/>
      <c r="W332" s="6"/>
      <c r="X332" s="6"/>
    </row>
    <row r="333">
      <c r="A333" s="1" t="str">
        <f>IFERROR(__xludf.DUMMYFUNCTION("""COMPUTED_VALUE"""),"2404-235")</f>
        <v>2404-235</v>
      </c>
      <c r="B333" s="1" t="str">
        <f>IFERROR(__xludf.DUMMYFUNCTION("""COMPUTED_VALUE"""),"Zilinskas - Malibu - Retaining Wall")</f>
        <v>Zilinskas - Malibu - Retaining Wall</v>
      </c>
      <c r="C333" s="1" t="str">
        <f>IFERROR(__xludf.DUMMYFUNCTION("""COMPUTED_VALUE"""),"Abandoned,Expired")</f>
        <v>Abandoned,Expired</v>
      </c>
      <c r="D333" s="4">
        <f>IFERROR(__xludf.DUMMYFUNCTION("""COMPUTED_VALUE"""),768729.0)</f>
        <v>768729</v>
      </c>
      <c r="E333" s="5" t="s">
        <v>34</v>
      </c>
      <c r="J333" s="2" t="s">
        <v>40</v>
      </c>
      <c r="K333" s="2" t="s">
        <v>51</v>
      </c>
      <c r="L333" s="2" t="s">
        <v>25</v>
      </c>
      <c r="M333" s="5" t="s">
        <v>48</v>
      </c>
      <c r="N333" s="5" t="s">
        <v>44</v>
      </c>
      <c r="O333" s="5" t="s">
        <v>48</v>
      </c>
      <c r="S333" s="6"/>
      <c r="T333" s="6"/>
      <c r="U333" s="6"/>
      <c r="V333" s="6"/>
      <c r="W333" s="3">
        <v>46006.06851179399</v>
      </c>
      <c r="X333" s="6"/>
    </row>
    <row r="334">
      <c r="A334" s="1" t="str">
        <f>IFERROR(__xludf.DUMMYFUNCTION("""COMPUTED_VALUE"""),"2404-234")</f>
        <v>2404-234</v>
      </c>
      <c r="B334" s="1" t="str">
        <f>IFERROR(__xludf.DUMMYFUNCTION("""COMPUTED_VALUE"""),"Rivas - National City - TI&amp;apos;s")</f>
        <v>Rivas - National City - TI&amp;apos;s</v>
      </c>
      <c r="C334" s="1" t="str">
        <f>IFERROR(__xludf.DUMMYFUNCTION("""COMPUTED_VALUE"""),"Abandoned,Expired")</f>
        <v>Abandoned,Expired</v>
      </c>
      <c r="D334" s="4">
        <f>IFERROR(__xludf.DUMMYFUNCTION("""COMPUTED_VALUE"""),768691.0)</f>
        <v>768691</v>
      </c>
      <c r="E334" s="5" t="s">
        <v>20</v>
      </c>
      <c r="J334" s="2" t="s">
        <v>43</v>
      </c>
      <c r="K334" s="2" t="s">
        <v>32</v>
      </c>
      <c r="L334" s="2" t="s">
        <v>51</v>
      </c>
      <c r="M334" s="5" t="s">
        <v>24</v>
      </c>
      <c r="N334" s="5" t="s">
        <v>44</v>
      </c>
      <c r="O334" s="5" t="s">
        <v>24</v>
      </c>
      <c r="S334" s="6"/>
      <c r="T334" s="6"/>
      <c r="U334" s="6"/>
      <c r="V334" s="6"/>
      <c r="W334" s="6"/>
      <c r="X334" s="6"/>
    </row>
    <row r="335">
      <c r="A335" s="1" t="str">
        <f>IFERROR(__xludf.DUMMYFUNCTION("""COMPUTED_VALUE"""),"2404-233")</f>
        <v>2404-233</v>
      </c>
      <c r="B335" s="1" t="str">
        <f>IFERROR(__xludf.DUMMYFUNCTION("""COMPUTED_VALUE"""),"Mukherjee - Temecula - Remodel Permit")</f>
        <v>Mukherjee - Temecula - Remodel Permit</v>
      </c>
      <c r="C335" s="1" t="str">
        <f>IFERROR(__xludf.DUMMYFUNCTION("""COMPUTED_VALUE"""),"Abandoned,Expired")</f>
        <v>Abandoned,Expired</v>
      </c>
      <c r="D335" s="4">
        <f>IFERROR(__xludf.DUMMYFUNCTION("""COMPUTED_VALUE"""),768718.0)</f>
        <v>768718</v>
      </c>
      <c r="E335" s="5" t="s">
        <v>20</v>
      </c>
      <c r="J335" s="2" t="s">
        <v>47</v>
      </c>
      <c r="K335" s="2" t="s">
        <v>39</v>
      </c>
      <c r="L335" s="2" t="s">
        <v>23</v>
      </c>
      <c r="M335" s="5" t="s">
        <v>37</v>
      </c>
      <c r="N335" s="5" t="s">
        <v>37</v>
      </c>
      <c r="O335" s="5" t="s">
        <v>24</v>
      </c>
      <c r="S335" s="6"/>
      <c r="T335" s="6"/>
      <c r="U335" s="6"/>
      <c r="V335" s="6"/>
      <c r="W335" s="3">
        <v>46006.018534710645</v>
      </c>
      <c r="X335" s="6"/>
    </row>
    <row r="336">
      <c r="A336" s="1" t="str">
        <f>IFERROR(__xludf.DUMMYFUNCTION("""COMPUTED_VALUE"""),"2404-232")</f>
        <v>2404-232</v>
      </c>
      <c r="B336" s="1" t="str">
        <f>IFERROR(__xludf.DUMMYFUNCTION("""COMPUTED_VALUE"""),"Asadov - San Diego - TI")</f>
        <v>Asadov - San Diego - TI</v>
      </c>
      <c r="C336" s="1" t="str">
        <f>IFERROR(__xludf.DUMMYFUNCTION("""COMPUTED_VALUE"""),"A008.8 Pending Resubmittal")</f>
        <v>A008.8 Pending Resubmittal</v>
      </c>
      <c r="D336" s="4">
        <f>IFERROR(__xludf.DUMMYFUNCTION("""COMPUTED_VALUE"""),768672.0)</f>
        <v>768672</v>
      </c>
      <c r="E336" s="5" t="s">
        <v>20</v>
      </c>
      <c r="J336" s="2" t="s">
        <v>23</v>
      </c>
      <c r="K336" s="2" t="s">
        <v>26</v>
      </c>
      <c r="L336" s="2" t="s">
        <v>32</v>
      </c>
      <c r="M336" s="5" t="s">
        <v>27</v>
      </c>
      <c r="N336" s="5" t="s">
        <v>24</v>
      </c>
      <c r="O336" s="5" t="s">
        <v>44</v>
      </c>
      <c r="S336" s="6"/>
      <c r="T336" s="6"/>
      <c r="U336" s="6"/>
      <c r="V336" s="6"/>
      <c r="W336" s="3">
        <v>46006.011611168986</v>
      </c>
      <c r="X336" s="6"/>
    </row>
    <row r="337">
      <c r="A337" s="1" t="str">
        <f>IFERROR(__xludf.DUMMYFUNCTION("""COMPUTED_VALUE"""),"2404-231")</f>
        <v>2404-231</v>
      </c>
      <c r="B337" s="1" t="str">
        <f>IFERROR(__xludf.DUMMYFUNCTION("""COMPUTED_VALUE"""),"Shulka - Carlsbad - 2 Home Designs")</f>
        <v>Shulka - Carlsbad - 2 Home Designs</v>
      </c>
      <c r="C337" s="1" t="str">
        <f>IFERROR(__xludf.DUMMYFUNCTION("""COMPUTED_VALUE"""),"Completed - Sent to Client")</f>
        <v>Completed - Sent to Client</v>
      </c>
      <c r="D337" s="4">
        <f>IFERROR(__xludf.DUMMYFUNCTION("""COMPUTED_VALUE"""),768427.0)</f>
        <v>768427</v>
      </c>
      <c r="E337" s="5" t="s">
        <v>34</v>
      </c>
      <c r="J337" s="2" t="s">
        <v>49</v>
      </c>
      <c r="K337" s="2" t="s">
        <v>39</v>
      </c>
      <c r="L337" s="2" t="s">
        <v>32</v>
      </c>
      <c r="M337" s="5" t="s">
        <v>44</v>
      </c>
      <c r="N337" s="5" t="s">
        <v>37</v>
      </c>
      <c r="O337" s="5" t="s">
        <v>44</v>
      </c>
      <c r="S337" s="6"/>
      <c r="T337" s="6"/>
      <c r="U337" s="6"/>
      <c r="V337" s="6"/>
      <c r="W337" s="6"/>
      <c r="X337" s="6"/>
    </row>
    <row r="338">
      <c r="A338" s="1" t="str">
        <f>IFERROR(__xludf.DUMMYFUNCTION("""COMPUTED_VALUE"""),"2403-229")</f>
        <v>2403-229</v>
      </c>
      <c r="B338" s="1" t="str">
        <f>IFERROR(__xludf.DUMMYFUNCTION("""COMPUTED_VALUE"""),"Ospina Remodel")</f>
        <v>Ospina Remodel</v>
      </c>
      <c r="C338" s="1" t="str">
        <f>IFERROR(__xludf.DUMMYFUNCTION("""COMPUTED_VALUE"""),"Approved - Construction Phase")</f>
        <v>Approved - Construction Phase</v>
      </c>
      <c r="D338" s="4">
        <f>IFERROR(__xludf.DUMMYFUNCTION("""COMPUTED_VALUE"""),751770.0)</f>
        <v>751770</v>
      </c>
      <c r="E338" s="5" t="s">
        <v>20</v>
      </c>
      <c r="J338" s="2" t="s">
        <v>23</v>
      </c>
      <c r="K338" s="2" t="s">
        <v>32</v>
      </c>
      <c r="L338" s="2" t="s">
        <v>39</v>
      </c>
      <c r="M338" s="5" t="s">
        <v>24</v>
      </c>
      <c r="N338" s="5" t="s">
        <v>48</v>
      </c>
      <c r="O338" s="5" t="s">
        <v>44</v>
      </c>
      <c r="S338" s="6"/>
      <c r="T338" s="6"/>
      <c r="U338" s="6"/>
      <c r="V338" s="6"/>
      <c r="W338" s="6"/>
      <c r="X338" s="6"/>
    </row>
    <row r="339">
      <c r="A339" s="1" t="str">
        <f>IFERROR(__xludf.DUMMYFUNCTION("""COMPUTED_VALUE"""),"2403-228")</f>
        <v>2403-228</v>
      </c>
      <c r="B339" s="1" t="str">
        <f>IFERROR(__xludf.DUMMYFUNCTION("""COMPUTED_VALUE"""),"Lewis Pop-up House")</f>
        <v>Lewis Pop-up House</v>
      </c>
      <c r="C339" s="1" t="str">
        <f>IFERROR(__xludf.DUMMYFUNCTION("""COMPUTED_VALUE"""),"Abandoned,Expired")</f>
        <v>Abandoned,Expired</v>
      </c>
      <c r="D339" s="4">
        <f>IFERROR(__xludf.DUMMYFUNCTION("""COMPUTED_VALUE"""),745275.0)</f>
        <v>745275</v>
      </c>
      <c r="E339" s="5" t="s">
        <v>34</v>
      </c>
      <c r="J339" s="2" t="s">
        <v>49</v>
      </c>
      <c r="K339" s="2" t="s">
        <v>32</v>
      </c>
      <c r="L339" s="2" t="s">
        <v>36</v>
      </c>
      <c r="M339" s="5" t="s">
        <v>44</v>
      </c>
      <c r="N339" s="5" t="s">
        <v>27</v>
      </c>
      <c r="O339" s="5" t="s">
        <v>48</v>
      </c>
      <c r="S339" s="3">
        <v>46005.21747831018</v>
      </c>
      <c r="T339" s="6"/>
      <c r="U339" s="6"/>
      <c r="V339" s="3"/>
      <c r="W339" s="3">
        <v>46005.99801707176</v>
      </c>
      <c r="X339" s="6"/>
    </row>
    <row r="340">
      <c r="A340" s="1" t="str">
        <f>IFERROR(__xludf.DUMMYFUNCTION("""COMPUTED_VALUE"""),"2403-227")</f>
        <v>2403-227</v>
      </c>
      <c r="B340" s="1" t="str">
        <f>IFERROR(__xludf.DUMMYFUNCTION("""COMPUTED_VALUE"""),"Mazur Residences")</f>
        <v>Mazur Residences</v>
      </c>
      <c r="C340" s="1" t="str">
        <f>IFERROR(__xludf.DUMMYFUNCTION("""COMPUTED_VALUE"""),"A008.6 Arch Packaging Re-Submittal")</f>
        <v>A008.6 Arch Packaging Re-Submittal</v>
      </c>
      <c r="D340" s="4">
        <f>IFERROR(__xludf.DUMMYFUNCTION("""COMPUTED_VALUE"""),745277.0)</f>
        <v>745277</v>
      </c>
      <c r="E340" s="5" t="s">
        <v>20</v>
      </c>
      <c r="J340" s="2" t="s">
        <v>26</v>
      </c>
      <c r="K340" s="2" t="s">
        <v>25</v>
      </c>
      <c r="L340" s="2" t="s">
        <v>36</v>
      </c>
      <c r="M340" s="5" t="s">
        <v>37</v>
      </c>
      <c r="N340" s="5" t="s">
        <v>48</v>
      </c>
      <c r="O340" s="5" t="s">
        <v>44</v>
      </c>
      <c r="S340" s="6"/>
      <c r="T340" s="6"/>
      <c r="U340" s="6"/>
      <c r="V340" s="6"/>
      <c r="W340" s="6"/>
      <c r="X340" s="6"/>
    </row>
    <row r="341">
      <c r="A341" s="1" t="str">
        <f>IFERROR(__xludf.DUMMYFUNCTION("""COMPUTED_VALUE"""),"2403-225")</f>
        <v>2403-225</v>
      </c>
      <c r="B341" s="1" t="str">
        <f>IFERROR(__xludf.DUMMYFUNCTION("""COMPUTED_VALUE"""),"Gallion - Corona - Remodel")</f>
        <v>Gallion - Corona - Remodel</v>
      </c>
      <c r="C341" s="1" t="str">
        <f>IFERROR(__xludf.DUMMYFUNCTION("""COMPUTED_VALUE"""),"Approved - Construction Phase")</f>
        <v>Approved - Construction Phase</v>
      </c>
      <c r="D341" s="4">
        <f>IFERROR(__xludf.DUMMYFUNCTION("""COMPUTED_VALUE"""),760651.0)</f>
        <v>760651</v>
      </c>
      <c r="E341" s="5" t="s">
        <v>34</v>
      </c>
      <c r="F341" s="2"/>
      <c r="J341" s="2" t="s">
        <v>43</v>
      </c>
      <c r="K341" s="2" t="s">
        <v>33</v>
      </c>
      <c r="L341" s="2" t="s">
        <v>33</v>
      </c>
      <c r="M341" s="5" t="s">
        <v>44</v>
      </c>
      <c r="N341" s="5" t="s">
        <v>44</v>
      </c>
      <c r="O341" s="5" t="s">
        <v>37</v>
      </c>
      <c r="S341" s="6"/>
      <c r="T341" s="6"/>
      <c r="U341" s="6"/>
      <c r="V341" s="3">
        <v>46005.54089608796</v>
      </c>
      <c r="W341" s="3">
        <v>46005.386483298615</v>
      </c>
      <c r="X341" s="6"/>
    </row>
    <row r="342">
      <c r="A342" s="1" t="str">
        <f>IFERROR(__xludf.DUMMYFUNCTION("""COMPUTED_VALUE"""),"2403-224")</f>
        <v>2403-224</v>
      </c>
      <c r="B342" s="1" t="str">
        <f>IFERROR(__xludf.DUMMYFUNCTION("""COMPUTED_VALUE"""),"Melgoza Residence")</f>
        <v>Melgoza Residence</v>
      </c>
      <c r="C342" s="1" t="str">
        <f>IFERROR(__xludf.DUMMYFUNCTION("""COMPUTED_VALUE"""),"Abandoned,Expired")</f>
        <v>Abandoned,Expired</v>
      </c>
      <c r="D342" s="4">
        <f>IFERROR(__xludf.DUMMYFUNCTION("""COMPUTED_VALUE"""),746375.0)</f>
        <v>746375</v>
      </c>
      <c r="E342" s="5" t="s">
        <v>34</v>
      </c>
      <c r="J342" s="2" t="s">
        <v>32</v>
      </c>
      <c r="K342" s="2" t="s">
        <v>42</v>
      </c>
      <c r="L342" s="2" t="s">
        <v>39</v>
      </c>
      <c r="M342" s="5" t="s">
        <v>48</v>
      </c>
      <c r="N342" s="5" t="s">
        <v>44</v>
      </c>
      <c r="O342" s="5" t="s">
        <v>44</v>
      </c>
      <c r="S342" s="6"/>
      <c r="T342" s="6"/>
      <c r="U342" s="6"/>
      <c r="V342" s="6"/>
      <c r="W342" s="6"/>
      <c r="X342" s="6"/>
    </row>
    <row r="343">
      <c r="A343" s="1" t="str">
        <f>IFERROR(__xludf.DUMMYFUNCTION("""COMPUTED_VALUE"""),"2403-223")</f>
        <v>2403-223</v>
      </c>
      <c r="B343" s="1" t="str">
        <f>IFERROR(__xludf.DUMMYFUNCTION("""COMPUTED_VALUE"""),"Jones - Redlands - ADU")</f>
        <v>Jones - Redlands - ADU</v>
      </c>
      <c r="C343" s="1" t="str">
        <f>IFERROR(__xludf.DUMMYFUNCTION("""COMPUTED_VALUE"""),"Completed - Sent to Client")</f>
        <v>Completed - Sent to Client</v>
      </c>
      <c r="D343" s="4">
        <f>IFERROR(__xludf.DUMMYFUNCTION("""COMPUTED_VALUE"""),754501.0)</f>
        <v>754501</v>
      </c>
      <c r="E343" s="5" t="s">
        <v>34</v>
      </c>
      <c r="J343" s="2" t="s">
        <v>43</v>
      </c>
      <c r="K343" s="2" t="s">
        <v>22</v>
      </c>
      <c r="L343" s="2" t="s">
        <v>43</v>
      </c>
      <c r="M343" s="5" t="s">
        <v>44</v>
      </c>
      <c r="N343" s="2" t="s">
        <v>48</v>
      </c>
      <c r="O343" s="5" t="s">
        <v>48</v>
      </c>
      <c r="S343" s="6"/>
      <c r="T343" s="3">
        <v>46006.393159618056</v>
      </c>
      <c r="U343" s="6"/>
      <c r="V343" s="6"/>
      <c r="W343" s="6"/>
      <c r="X343" s="6"/>
    </row>
    <row r="344">
      <c r="A344" s="1" t="str">
        <f>IFERROR(__xludf.DUMMYFUNCTION("""COMPUTED_VALUE"""),"2403-222")</f>
        <v>2403-222</v>
      </c>
      <c r="B344" s="1" t="str">
        <f>IFERROR(__xludf.DUMMYFUNCTION("""COMPUTED_VALUE"""),"Morning Pet Grooming")</f>
        <v>Morning Pet Grooming</v>
      </c>
      <c r="C344" s="1" t="str">
        <f>IFERROR(__xludf.DUMMYFUNCTION("""COMPUTED_VALUE"""),"Approved - Construction Phase")</f>
        <v>Approved - Construction Phase</v>
      </c>
      <c r="D344" s="4">
        <f>IFERROR(__xludf.DUMMYFUNCTION("""COMPUTED_VALUE"""),736604.0)</f>
        <v>736604</v>
      </c>
      <c r="E344" s="5" t="s">
        <v>34</v>
      </c>
      <c r="J344" s="2" t="s">
        <v>51</v>
      </c>
      <c r="K344" s="2" t="s">
        <v>50</v>
      </c>
      <c r="L344" s="2" t="s">
        <v>50</v>
      </c>
      <c r="M344" s="5" t="s">
        <v>48</v>
      </c>
      <c r="N344" s="5" t="s">
        <v>24</v>
      </c>
      <c r="O344" s="5" t="s">
        <v>37</v>
      </c>
      <c r="S344" s="6"/>
      <c r="T344" s="6"/>
      <c r="U344" s="6"/>
      <c r="V344" s="6"/>
      <c r="W344" s="6"/>
      <c r="X344" s="6"/>
    </row>
    <row r="345">
      <c r="A345" s="1" t="str">
        <f>IFERROR(__xludf.DUMMYFUNCTION("""COMPUTED_VALUE"""),"2403-220")</f>
        <v>2403-220</v>
      </c>
      <c r="B345" s="1" t="str">
        <f>IFERROR(__xludf.DUMMYFUNCTION("""COMPUTED_VALUE"""),"Mondelez - Ontario - Fence Plans")</f>
        <v>Mondelez - Ontario - Fence Plans</v>
      </c>
      <c r="C345" s="1" t="str">
        <f>IFERROR(__xludf.DUMMYFUNCTION("""COMPUTED_VALUE"""),"Approved - Construction Phase")</f>
        <v>Approved - Construction Phase</v>
      </c>
      <c r="D345" s="4">
        <f>IFERROR(__xludf.DUMMYFUNCTION("""COMPUTED_VALUE"""),760670.0)</f>
        <v>760670</v>
      </c>
      <c r="E345" s="5" t="s">
        <v>34</v>
      </c>
      <c r="F345" s="2"/>
      <c r="J345" s="2" t="s">
        <v>33</v>
      </c>
      <c r="K345" s="2" t="s">
        <v>25</v>
      </c>
      <c r="L345" s="2" t="s">
        <v>23</v>
      </c>
      <c r="M345" s="5" t="s">
        <v>27</v>
      </c>
      <c r="N345" s="5" t="s">
        <v>48</v>
      </c>
      <c r="O345" s="5" t="s">
        <v>27</v>
      </c>
      <c r="S345" s="3">
        <v>46005.52812855324</v>
      </c>
      <c r="T345" s="6"/>
      <c r="U345" s="6"/>
      <c r="V345" s="3">
        <v>46005.517982199075</v>
      </c>
      <c r="W345" s="3">
        <v>46005.34504997685</v>
      </c>
      <c r="X345" s="6"/>
    </row>
    <row r="346">
      <c r="A346" s="1" t="str">
        <f>IFERROR(__xludf.DUMMYFUNCTION("""COMPUTED_VALUE"""),"2403-219.")</f>
        <v>2403-219.</v>
      </c>
      <c r="B346" s="1" t="str">
        <f>IFERROR(__xludf.DUMMYFUNCTION("""COMPUTED_VALUE"""),"Dupont Retaining Wall")</f>
        <v>Dupont Retaining Wall</v>
      </c>
      <c r="C346" s="1" t="str">
        <f>IFERROR(__xludf.DUMMYFUNCTION("""COMPUTED_VALUE"""),"Approved - Construction Phase")</f>
        <v>Approved - Construction Phase</v>
      </c>
      <c r="D346" s="4">
        <f>IFERROR(__xludf.DUMMYFUNCTION("""COMPUTED_VALUE"""),746464.0)</f>
        <v>746464</v>
      </c>
      <c r="E346" s="5" t="s">
        <v>34</v>
      </c>
      <c r="J346" s="2" t="s">
        <v>22</v>
      </c>
      <c r="K346" s="2" t="s">
        <v>39</v>
      </c>
      <c r="L346" s="2" t="s">
        <v>36</v>
      </c>
      <c r="M346" s="2" t="s">
        <v>48</v>
      </c>
      <c r="N346" s="5" t="s">
        <v>44</v>
      </c>
      <c r="O346" s="5" t="s">
        <v>27</v>
      </c>
      <c r="S346" s="3">
        <v>46006.39324085648</v>
      </c>
      <c r="T346" s="6"/>
      <c r="U346" s="6"/>
      <c r="V346" s="6"/>
      <c r="W346" s="6"/>
      <c r="X346" s="6"/>
    </row>
    <row r="347">
      <c r="A347" s="1" t="str">
        <f>IFERROR(__xludf.DUMMYFUNCTION("""COMPUTED_VALUE"""),"2403-218")</f>
        <v>2403-218</v>
      </c>
      <c r="B347" s="1" t="str">
        <f>IFERROR(__xludf.DUMMYFUNCTION("""COMPUTED_VALUE"""),"Laurie Residence Structural")</f>
        <v>Laurie Residence Structural</v>
      </c>
      <c r="C347" s="1" t="str">
        <f>IFERROR(__xludf.DUMMYFUNCTION("""COMPUTED_VALUE"""),"Approved - Construction Phase")</f>
        <v>Approved - Construction Phase</v>
      </c>
      <c r="D347" s="4">
        <f>IFERROR(__xludf.DUMMYFUNCTION("""COMPUTED_VALUE"""),736609.0)</f>
        <v>736609</v>
      </c>
      <c r="E347" s="5" t="s">
        <v>20</v>
      </c>
      <c r="F347" s="2"/>
      <c r="J347" s="2" t="s">
        <v>47</v>
      </c>
      <c r="K347" s="2" t="s">
        <v>43</v>
      </c>
      <c r="L347" s="2" t="s">
        <v>51</v>
      </c>
      <c r="M347" s="5" t="s">
        <v>24</v>
      </c>
      <c r="N347" s="5" t="s">
        <v>24</v>
      </c>
      <c r="O347" s="5" t="s">
        <v>44</v>
      </c>
      <c r="S347" s="6"/>
      <c r="T347" s="3">
        <v>46005.497673425925</v>
      </c>
      <c r="U347" s="6"/>
      <c r="V347" s="3">
        <v>46004.99744702547</v>
      </c>
      <c r="W347" s="3">
        <v>46004.99739509259</v>
      </c>
      <c r="X347" s="6"/>
    </row>
    <row r="348">
      <c r="A348" s="1" t="str">
        <f>IFERROR(__xludf.DUMMYFUNCTION("""COMPUTED_VALUE"""),"2403-217")</f>
        <v>2403-217</v>
      </c>
      <c r="B348" s="1" t="str">
        <f>IFERROR(__xludf.DUMMYFUNCTION("""COMPUTED_VALUE"""),"Roman Gazebo and Patio Cover")</f>
        <v>Roman Gazebo and Patio Cover</v>
      </c>
      <c r="C348" s="1" t="str">
        <f>IFERROR(__xludf.DUMMYFUNCTION("""COMPUTED_VALUE"""),"Approved - Construction Phase")</f>
        <v>Approved - Construction Phase</v>
      </c>
      <c r="D348" s="4">
        <f>IFERROR(__xludf.DUMMYFUNCTION("""COMPUTED_VALUE"""),736596.0)</f>
        <v>736596</v>
      </c>
      <c r="E348" s="5" t="s">
        <v>34</v>
      </c>
      <c r="F348" s="2"/>
      <c r="J348" s="2" t="s">
        <v>47</v>
      </c>
      <c r="K348" s="2" t="s">
        <v>51</v>
      </c>
      <c r="L348" s="2" t="s">
        <v>36</v>
      </c>
      <c r="M348" s="5" t="s">
        <v>27</v>
      </c>
      <c r="N348" s="5" t="s">
        <v>44</v>
      </c>
      <c r="O348" s="5" t="s">
        <v>44</v>
      </c>
      <c r="S348" s="3">
        <v>46005.52860679398</v>
      </c>
      <c r="T348" s="6"/>
      <c r="U348" s="6"/>
      <c r="V348" s="3">
        <v>46005.517941342594</v>
      </c>
      <c r="W348" s="3">
        <v>46005.39966458333</v>
      </c>
      <c r="X348" s="6"/>
    </row>
    <row r="349">
      <c r="A349" s="1" t="str">
        <f>IFERROR(__xludf.DUMMYFUNCTION("""COMPUTED_VALUE"""),"2403-215")</f>
        <v>2403-215</v>
      </c>
      <c r="B349" s="1" t="str">
        <f>IFERROR(__xludf.DUMMYFUNCTION("""COMPUTED_VALUE"""),"Betyar Trellis")</f>
        <v>Betyar Trellis</v>
      </c>
      <c r="C349" s="1" t="str">
        <f>IFERROR(__xludf.DUMMYFUNCTION("""COMPUTED_VALUE"""),"Approved - Construction Phase")</f>
        <v>Approved - Construction Phase</v>
      </c>
      <c r="D349" s="4">
        <f>IFERROR(__xludf.DUMMYFUNCTION("""COMPUTED_VALUE"""),733961.0)</f>
        <v>733961</v>
      </c>
      <c r="E349" s="5" t="s">
        <v>34</v>
      </c>
      <c r="F349" s="2"/>
      <c r="J349" s="2" t="s">
        <v>25</v>
      </c>
      <c r="K349" s="2" t="s">
        <v>22</v>
      </c>
      <c r="L349" s="2" t="s">
        <v>35</v>
      </c>
      <c r="M349" s="5" t="s">
        <v>48</v>
      </c>
      <c r="N349" s="2" t="s">
        <v>24</v>
      </c>
      <c r="O349" s="5" t="s">
        <v>44</v>
      </c>
      <c r="S349" s="3">
        <v>46006.01989658565</v>
      </c>
      <c r="T349" s="3">
        <v>46006.381148043976</v>
      </c>
      <c r="U349" s="6"/>
      <c r="V349" s="3">
        <v>46006.00106152778</v>
      </c>
      <c r="W349" s="3">
        <v>46005.40037041667</v>
      </c>
      <c r="X349" s="6"/>
    </row>
    <row r="350">
      <c r="A350" s="1" t="str">
        <f>IFERROR(__xludf.DUMMYFUNCTION("""COMPUTED_VALUE"""),"2403-214")</f>
        <v>2403-214</v>
      </c>
      <c r="B350" s="1" t="str">
        <f>IFERROR(__xludf.DUMMYFUNCTION("""COMPUTED_VALUE"""),"Green Covered Patio")</f>
        <v>Green Covered Patio</v>
      </c>
      <c r="C350" s="1" t="str">
        <f>IFERROR(__xludf.DUMMYFUNCTION("""COMPUTED_VALUE"""),"Approved - Construction Phase")</f>
        <v>Approved - Construction Phase</v>
      </c>
      <c r="D350" s="4">
        <f>IFERROR(__xludf.DUMMYFUNCTION("""COMPUTED_VALUE"""),736566.0)</f>
        <v>736566</v>
      </c>
      <c r="E350" s="5" t="s">
        <v>20</v>
      </c>
      <c r="J350" s="2" t="s">
        <v>49</v>
      </c>
      <c r="K350" s="2" t="s">
        <v>35</v>
      </c>
      <c r="L350" s="2" t="s">
        <v>40</v>
      </c>
      <c r="M350" s="5" t="s">
        <v>27</v>
      </c>
      <c r="N350" s="5" t="s">
        <v>44</v>
      </c>
      <c r="O350" s="5" t="s">
        <v>27</v>
      </c>
      <c r="S350" s="6"/>
      <c r="T350" s="6"/>
      <c r="U350" s="6"/>
      <c r="V350" s="6"/>
      <c r="W350" s="6"/>
      <c r="X350" s="6"/>
    </row>
    <row r="351">
      <c r="A351" s="1" t="str">
        <f>IFERROR(__xludf.DUMMYFUNCTION("""COMPUTED_VALUE"""),"2403-029")</f>
        <v>2403-029</v>
      </c>
      <c r="B351" s="1" t="str">
        <f>IFERROR(__xludf.DUMMYFUNCTION("""COMPUTED_VALUE"""),"Liu Addition")</f>
        <v>Liu Addition</v>
      </c>
      <c r="C351" s="1" t="str">
        <f>IFERROR(__xludf.DUMMYFUNCTION("""COMPUTED_VALUE"""),"Approved - Construction Phase")</f>
        <v>Approved - Construction Phase</v>
      </c>
      <c r="D351" s="4">
        <f>IFERROR(__xludf.DUMMYFUNCTION("""COMPUTED_VALUE"""),755753.0)</f>
        <v>755753</v>
      </c>
      <c r="E351" s="5" t="s">
        <v>20</v>
      </c>
      <c r="F351" s="2"/>
      <c r="J351" s="2" t="s">
        <v>43</v>
      </c>
      <c r="K351" s="2" t="s">
        <v>33</v>
      </c>
      <c r="L351" s="2" t="s">
        <v>32</v>
      </c>
      <c r="M351" s="5" t="s">
        <v>37</v>
      </c>
      <c r="N351" s="5" t="s">
        <v>44</v>
      </c>
      <c r="O351" s="5" t="s">
        <v>44</v>
      </c>
      <c r="S351" s="6"/>
      <c r="T351" s="3">
        <v>46005.50810162037</v>
      </c>
      <c r="U351" s="6"/>
      <c r="V351" s="3">
        <v>46005.44787512731</v>
      </c>
      <c r="W351" s="3">
        <v>46005.44794090278</v>
      </c>
      <c r="X351" s="6"/>
    </row>
    <row r="352">
      <c r="A352" s="1" t="str">
        <f>IFERROR(__xludf.DUMMYFUNCTION("""COMPUTED_VALUE"""),"2402-216")</f>
        <v>2402-216</v>
      </c>
      <c r="B352" s="1" t="str">
        <f>IFERROR(__xludf.DUMMYFUNCTION("""COMPUTED_VALUE"""),"Rivera Addition and ADU")</f>
        <v>Rivera Addition and ADU</v>
      </c>
      <c r="C352" s="1" t="str">
        <f>IFERROR(__xludf.DUMMYFUNCTION("""COMPUTED_VALUE"""),"Approved - Construction Phase")</f>
        <v>Approved - Construction Phase</v>
      </c>
      <c r="D352" s="4">
        <f>IFERROR(__xludf.DUMMYFUNCTION("""COMPUTED_VALUE"""),736582.0)</f>
        <v>736582</v>
      </c>
      <c r="E352" s="5" t="s">
        <v>20</v>
      </c>
      <c r="J352" s="2" t="s">
        <v>42</v>
      </c>
      <c r="K352" s="2" t="s">
        <v>25</v>
      </c>
      <c r="L352" s="2" t="s">
        <v>49</v>
      </c>
      <c r="M352" s="5" t="s">
        <v>24</v>
      </c>
      <c r="N352" s="5" t="s">
        <v>48</v>
      </c>
      <c r="O352" s="5" t="s">
        <v>24</v>
      </c>
      <c r="S352" s="6"/>
      <c r="T352" s="6"/>
      <c r="U352" s="6"/>
      <c r="V352" s="6"/>
      <c r="W352" s="6"/>
      <c r="X352" s="6"/>
    </row>
    <row r="353">
      <c r="A353" s="1" t="str">
        <f>IFERROR(__xludf.DUMMYFUNCTION("""COMPUTED_VALUE"""),"2402-213")</f>
        <v>2402-213</v>
      </c>
      <c r="B353" s="1" t="str">
        <f>IFERROR(__xludf.DUMMYFUNCTION("""COMPUTED_VALUE"""),"Carenza Feasibility Study")</f>
        <v>Carenza Feasibility Study</v>
      </c>
      <c r="C353" s="1" t="str">
        <f>IFERROR(__xludf.DUMMYFUNCTION("""COMPUTED_VALUE"""),"Do Not Click - Final Submit for Approval")</f>
        <v>Do Not Click - Final Submit for Approval</v>
      </c>
      <c r="D353" s="4">
        <f>IFERROR(__xludf.DUMMYFUNCTION("""COMPUTED_VALUE"""),727840.0)</f>
        <v>727840</v>
      </c>
      <c r="E353" s="5" t="s">
        <v>20</v>
      </c>
      <c r="J353" s="2" t="s">
        <v>35</v>
      </c>
      <c r="K353" s="2" t="s">
        <v>51</v>
      </c>
      <c r="L353" s="2" t="s">
        <v>51</v>
      </c>
      <c r="M353" s="5" t="s">
        <v>37</v>
      </c>
      <c r="N353" s="5" t="s">
        <v>37</v>
      </c>
      <c r="O353" s="5" t="s">
        <v>44</v>
      </c>
      <c r="S353" s="3">
        <v>46005.22506603009</v>
      </c>
      <c r="T353" s="6"/>
      <c r="U353" s="6"/>
      <c r="V353" s="6"/>
      <c r="W353" s="3"/>
      <c r="X353" s="6"/>
    </row>
    <row r="354">
      <c r="A354" s="1" t="str">
        <f>IFERROR(__xludf.DUMMYFUNCTION("""COMPUTED_VALUE"""),"2402-212")</f>
        <v>2402-212</v>
      </c>
      <c r="B354" s="1" t="str">
        <f>IFERROR(__xludf.DUMMYFUNCTION("""COMPUTED_VALUE"""),"Lutman Outdoor Kitchen")</f>
        <v>Lutman Outdoor Kitchen</v>
      </c>
      <c r="C354" s="1" t="str">
        <f>IFERROR(__xludf.DUMMYFUNCTION("""COMPUTED_VALUE"""),"Approved - Construction Phase")</f>
        <v>Approved - Construction Phase</v>
      </c>
      <c r="D354" s="4">
        <f>IFERROR(__xludf.DUMMYFUNCTION("""COMPUTED_VALUE"""),735695.0)</f>
        <v>735695</v>
      </c>
      <c r="E354" s="5" t="s">
        <v>20</v>
      </c>
      <c r="J354" s="2" t="s">
        <v>39</v>
      </c>
      <c r="K354" s="2" t="s">
        <v>51</v>
      </c>
      <c r="L354" s="2" t="s">
        <v>22</v>
      </c>
      <c r="M354" s="5" t="s">
        <v>27</v>
      </c>
      <c r="N354" s="5" t="s">
        <v>37</v>
      </c>
      <c r="O354" s="2" t="s">
        <v>48</v>
      </c>
      <c r="S354" s="6"/>
      <c r="T354" s="6"/>
      <c r="U354" s="3">
        <v>46006.39090550926</v>
      </c>
      <c r="V354" s="6"/>
      <c r="W354" s="6"/>
      <c r="X354" s="6"/>
    </row>
    <row r="355">
      <c r="A355" s="1" t="str">
        <f>IFERROR(__xludf.DUMMYFUNCTION("""COMPUTED_VALUE"""),"2402-211")</f>
        <v>2402-211</v>
      </c>
      <c r="B355" s="1" t="str">
        <f>IFERROR(__xludf.DUMMYFUNCTION("""COMPUTED_VALUE"""),"Kinninger Addition")</f>
        <v>Kinninger Addition</v>
      </c>
      <c r="C355" s="1" t="str">
        <f>IFERROR(__xludf.DUMMYFUNCTION("""COMPUTED_VALUE"""),"Approved - Construction Phase")</f>
        <v>Approved - Construction Phase</v>
      </c>
      <c r="D355" s="4">
        <f>IFERROR(__xludf.DUMMYFUNCTION("""COMPUTED_VALUE"""),726795.0)</f>
        <v>726795</v>
      </c>
      <c r="E355" s="5" t="s">
        <v>34</v>
      </c>
      <c r="J355" s="2" t="s">
        <v>42</v>
      </c>
      <c r="K355" s="2" t="s">
        <v>42</v>
      </c>
      <c r="L355" s="2" t="s">
        <v>36</v>
      </c>
      <c r="M355" s="5" t="s">
        <v>44</v>
      </c>
      <c r="N355" s="5" t="s">
        <v>48</v>
      </c>
      <c r="O355" s="5" t="s">
        <v>37</v>
      </c>
      <c r="S355" s="6"/>
      <c r="T355" s="6"/>
      <c r="U355" s="6"/>
      <c r="V355" s="6"/>
      <c r="W355" s="6"/>
      <c r="X355" s="6"/>
    </row>
    <row r="356">
      <c r="A356" s="1" t="str">
        <f>IFERROR(__xludf.DUMMYFUNCTION("""COMPUTED_VALUE"""),"2402-210")</f>
        <v>2402-210</v>
      </c>
      <c r="B356" s="1" t="str">
        <f>IFERROR(__xludf.DUMMYFUNCTION("""COMPUTED_VALUE"""),"Fishman Historic Steps")</f>
        <v>Fishman Historic Steps</v>
      </c>
      <c r="C356" s="1" t="str">
        <f>IFERROR(__xludf.DUMMYFUNCTION("""COMPUTED_VALUE"""),"Completed - Sent to Client")</f>
        <v>Completed - Sent to Client</v>
      </c>
      <c r="D356" s="4">
        <f>IFERROR(__xludf.DUMMYFUNCTION("""COMPUTED_VALUE"""),733903.0)</f>
        <v>733903</v>
      </c>
      <c r="E356" s="5" t="s">
        <v>20</v>
      </c>
      <c r="J356" s="2" t="s">
        <v>50</v>
      </c>
      <c r="K356" s="2" t="s">
        <v>50</v>
      </c>
      <c r="L356" s="2" t="s">
        <v>33</v>
      </c>
      <c r="M356" s="5" t="s">
        <v>37</v>
      </c>
      <c r="N356" s="5" t="s">
        <v>44</v>
      </c>
      <c r="O356" s="5" t="s">
        <v>24</v>
      </c>
      <c r="S356" s="6"/>
      <c r="T356" s="6"/>
      <c r="U356" s="6"/>
      <c r="V356" s="6"/>
      <c r="W356" s="6"/>
      <c r="X356" s="6"/>
    </row>
    <row r="357">
      <c r="A357" s="1" t="str">
        <f>IFERROR(__xludf.DUMMYFUNCTION("""COMPUTED_VALUE"""),"2402-028")</f>
        <v>2402-028</v>
      </c>
      <c r="B357" s="1" t="str">
        <f>IFERROR(__xludf.DUMMYFUNCTION("""COMPUTED_VALUE"""),"Barber - Sausalito Remodel")</f>
        <v>Barber - Sausalito Remodel</v>
      </c>
      <c r="C357" s="1" t="str">
        <f>IFERROR(__xludf.DUMMYFUNCTION("""COMPUTED_VALUE"""),"Abandoned,Expired")</f>
        <v>Abandoned,Expired</v>
      </c>
      <c r="D357" s="4">
        <f>IFERROR(__xludf.DUMMYFUNCTION("""COMPUTED_VALUE"""),723224.0)</f>
        <v>723224</v>
      </c>
      <c r="E357" s="5" t="s">
        <v>34</v>
      </c>
      <c r="J357" s="2" t="s">
        <v>35</v>
      </c>
      <c r="K357" s="2" t="s">
        <v>40</v>
      </c>
      <c r="L357" s="2" t="s">
        <v>23</v>
      </c>
      <c r="M357" s="5" t="s">
        <v>37</v>
      </c>
      <c r="N357" s="5" t="s">
        <v>24</v>
      </c>
      <c r="O357" s="5" t="s">
        <v>48</v>
      </c>
      <c r="S357" s="3">
        <v>46005.21025986111</v>
      </c>
      <c r="T357" s="6"/>
      <c r="U357" s="6"/>
      <c r="V357" s="6"/>
      <c r="W357" s="3">
        <v>46006.020006770836</v>
      </c>
      <c r="X357" s="6"/>
    </row>
    <row r="358">
      <c r="A358" s="1" t="str">
        <f>IFERROR(__xludf.DUMMYFUNCTION("""COMPUTED_VALUE"""),"2402-001")</f>
        <v>2402-001</v>
      </c>
      <c r="B358" s="1" t="str">
        <f>IFERROR(__xludf.DUMMYFUNCTION("""COMPUTED_VALUE"""),"Majors Residential Care")</f>
        <v>Majors Residential Care</v>
      </c>
      <c r="C358" s="1" t="str">
        <f>IFERROR(__xludf.DUMMYFUNCTION("""COMPUTED_VALUE"""),"Do Not Click - Final Submit for Approval")</f>
        <v>Do Not Click - Final Submit for Approval</v>
      </c>
      <c r="D358" s="4">
        <f>IFERROR(__xludf.DUMMYFUNCTION("""COMPUTED_VALUE"""),722010.0)</f>
        <v>722010</v>
      </c>
      <c r="E358" s="5" t="s">
        <v>20</v>
      </c>
      <c r="J358" s="2" t="s">
        <v>50</v>
      </c>
      <c r="K358" s="2" t="s">
        <v>40</v>
      </c>
      <c r="L358" s="2" t="s">
        <v>32</v>
      </c>
      <c r="M358" s="5" t="s">
        <v>37</v>
      </c>
      <c r="N358" s="5" t="s">
        <v>48</v>
      </c>
      <c r="O358" s="5" t="s">
        <v>27</v>
      </c>
      <c r="S358" s="6"/>
      <c r="T358" s="6"/>
      <c r="U358" s="6"/>
      <c r="V358" s="6"/>
      <c r="W358" s="6"/>
      <c r="X358" s="6"/>
    </row>
    <row r="359">
      <c r="A359" s="1" t="str">
        <f>IFERROR(__xludf.DUMMYFUNCTION("""COMPUTED_VALUE"""),"2401-208")</f>
        <v>2401-208</v>
      </c>
      <c r="B359" s="1" t="str">
        <f>IFERROR(__xludf.DUMMYFUNCTION("""COMPUTED_VALUE"""),"Kaar Residence")</f>
        <v>Kaar Residence</v>
      </c>
      <c r="C359" s="1" t="str">
        <f>IFERROR(__xludf.DUMMYFUNCTION("""COMPUTED_VALUE"""),"A007.8 Pending Submittal")</f>
        <v>A007.8 Pending Submittal</v>
      </c>
      <c r="D359" s="4">
        <f>IFERROR(__xludf.DUMMYFUNCTION("""COMPUTED_VALUE"""),730377.0)</f>
        <v>730377</v>
      </c>
      <c r="E359" s="5" t="s">
        <v>20</v>
      </c>
      <c r="F359" s="2"/>
      <c r="J359" s="2" t="s">
        <v>51</v>
      </c>
      <c r="K359" s="2" t="s">
        <v>33</v>
      </c>
      <c r="L359" s="2" t="s">
        <v>39</v>
      </c>
      <c r="M359" s="5" t="s">
        <v>24</v>
      </c>
      <c r="N359" s="5" t="s">
        <v>27</v>
      </c>
      <c r="O359" s="5" t="s">
        <v>24</v>
      </c>
      <c r="S359" s="6"/>
      <c r="T359" s="6"/>
      <c r="U359" s="3">
        <v>46005.205028125</v>
      </c>
      <c r="V359" s="3">
        <v>46005.44657975694</v>
      </c>
      <c r="W359" s="3">
        <v>46005.44668971065</v>
      </c>
      <c r="X359" s="6"/>
    </row>
    <row r="360">
      <c r="A360" s="1" t="str">
        <f>IFERROR(__xludf.DUMMYFUNCTION("""COMPUTED_VALUE"""),"2401-202")</f>
        <v>2401-202</v>
      </c>
      <c r="B360" s="1" t="str">
        <f>IFERROR(__xludf.DUMMYFUNCTION("""COMPUTED_VALUE"""),"Gudat Addtion")</f>
        <v>Gudat Addtion</v>
      </c>
      <c r="C360" s="1" t="str">
        <f>IFERROR(__xludf.DUMMYFUNCTION("""COMPUTED_VALUE"""),"Approved - Construction Phase")</f>
        <v>Approved - Construction Phase</v>
      </c>
      <c r="D360" s="4">
        <f>IFERROR(__xludf.DUMMYFUNCTION("""COMPUTED_VALUE"""),723342.0)</f>
        <v>723342</v>
      </c>
      <c r="E360" s="5" t="s">
        <v>20</v>
      </c>
      <c r="F360" s="2"/>
      <c r="J360" s="2" t="s">
        <v>51</v>
      </c>
      <c r="K360" s="2" t="s">
        <v>36</v>
      </c>
      <c r="L360" s="2" t="s">
        <v>23</v>
      </c>
      <c r="M360" s="5" t="s">
        <v>27</v>
      </c>
      <c r="N360" s="5" t="s">
        <v>24</v>
      </c>
      <c r="O360" s="5" t="s">
        <v>48</v>
      </c>
      <c r="S360" s="3">
        <v>46005.313494305556</v>
      </c>
      <c r="T360" s="6"/>
      <c r="U360" s="6"/>
      <c r="V360" s="3">
        <v>46005.31198222222</v>
      </c>
      <c r="W360" s="3">
        <v>46005.550815069444</v>
      </c>
      <c r="X360" s="6"/>
    </row>
    <row r="361">
      <c r="A361" s="1" t="str">
        <f>IFERROR(__xludf.DUMMYFUNCTION("""COMPUTED_VALUE"""),"2401-201")</f>
        <v>2401-201</v>
      </c>
      <c r="B361" s="1" t="str">
        <f>IFERROR(__xludf.DUMMYFUNCTION("""COMPUTED_VALUE"""),"Smith - Lancaster Addition")</f>
        <v>Smith - Lancaster Addition</v>
      </c>
      <c r="C361" s="1" t="str">
        <f>IFERROR(__xludf.DUMMYFUNCTION("""COMPUTED_VALUE"""),"Approved - Construction Phase")</f>
        <v>Approved - Construction Phase</v>
      </c>
      <c r="D361" s="4">
        <f>IFERROR(__xludf.DUMMYFUNCTION("""COMPUTED_VALUE"""),728181.0)</f>
        <v>728181</v>
      </c>
      <c r="E361" s="5" t="s">
        <v>20</v>
      </c>
      <c r="F361" s="2"/>
      <c r="J361" s="2" t="s">
        <v>32</v>
      </c>
      <c r="K361" s="2" t="s">
        <v>40</v>
      </c>
      <c r="L361" s="2" t="s">
        <v>32</v>
      </c>
      <c r="M361" s="5" t="s">
        <v>27</v>
      </c>
      <c r="N361" s="5" t="s">
        <v>44</v>
      </c>
      <c r="O361" s="5" t="s">
        <v>27</v>
      </c>
      <c r="R361" s="2" t="s">
        <v>58</v>
      </c>
      <c r="S361" s="3">
        <v>46005.502593576384</v>
      </c>
      <c r="T361" s="6"/>
      <c r="U361" s="3">
        <v>46005.224990752315</v>
      </c>
      <c r="V361" s="3">
        <v>46005.34762179398</v>
      </c>
      <c r="W361" s="3">
        <v>46005.31135002315</v>
      </c>
      <c r="X361" s="6"/>
    </row>
    <row r="362">
      <c r="A362" s="1" t="str">
        <f>IFERROR(__xludf.DUMMYFUNCTION("""COMPUTED_VALUE"""),"2401-001")</f>
        <v>2401-001</v>
      </c>
      <c r="B362" s="1" t="str">
        <f>IFERROR(__xludf.DUMMYFUNCTION("""COMPUTED_VALUE"""),"Sweetwater Womens Club Deck")</f>
        <v>Sweetwater Womens Club Deck</v>
      </c>
      <c r="C362" s="1" t="str">
        <f>IFERROR(__xludf.DUMMYFUNCTION("""COMPUTED_VALUE"""),"A008 Submitted - Waiting on Others")</f>
        <v>A008 Submitted - Waiting on Others</v>
      </c>
      <c r="D362" s="4">
        <f>IFERROR(__xludf.DUMMYFUNCTION("""COMPUTED_VALUE"""),719688.0)</f>
        <v>719688</v>
      </c>
      <c r="E362" s="5" t="s">
        <v>34</v>
      </c>
      <c r="J362" s="2" t="s">
        <v>42</v>
      </c>
      <c r="K362" s="2" t="s">
        <v>35</v>
      </c>
      <c r="L362" s="2" t="s">
        <v>22</v>
      </c>
      <c r="M362" s="5" t="s">
        <v>27</v>
      </c>
      <c r="N362" s="5" t="s">
        <v>48</v>
      </c>
      <c r="O362" s="5" t="s">
        <v>48</v>
      </c>
      <c r="S362" s="6"/>
      <c r="T362" s="6"/>
      <c r="U362" s="6"/>
      <c r="V362" s="6"/>
      <c r="W362" s="6"/>
      <c r="X362" s="6"/>
    </row>
    <row r="363">
      <c r="A363" s="1" t="str">
        <f>IFERROR(__xludf.DUMMYFUNCTION("""COMPUTED_VALUE"""),"2400-3XX")</f>
        <v>2400-3XX</v>
      </c>
      <c r="B363" s="1" t="str">
        <f>IFERROR(__xludf.DUMMYFUNCTION("""COMPUTED_VALUE"""),"Tester Big-Bear-Remodel")</f>
        <v>Tester Big-Bear-Remodel</v>
      </c>
      <c r="C363" s="1" t="str">
        <f>IFERROR(__xludf.DUMMYFUNCTION("""COMPUTED_VALUE"""),"Abandoned,Expired")</f>
        <v>Abandoned,Expired</v>
      </c>
      <c r="D363" s="4">
        <f>IFERROR(__xludf.DUMMYFUNCTION("""COMPUTED_VALUE"""),966650.0)</f>
        <v>966650</v>
      </c>
      <c r="E363" s="5" t="s">
        <v>34</v>
      </c>
      <c r="J363" s="2" t="s">
        <v>43</v>
      </c>
      <c r="K363" s="2" t="s">
        <v>39</v>
      </c>
      <c r="L363" s="2" t="s">
        <v>23</v>
      </c>
      <c r="M363" s="5" t="s">
        <v>27</v>
      </c>
      <c r="N363" s="5" t="s">
        <v>27</v>
      </c>
      <c r="O363" s="5" t="s">
        <v>24</v>
      </c>
      <c r="S363" s="6"/>
      <c r="T363" s="6"/>
      <c r="U363" s="6"/>
      <c r="V363" s="3"/>
      <c r="W363" s="3">
        <v>46006.01184252315</v>
      </c>
      <c r="X363" s="6"/>
    </row>
    <row r="364">
      <c r="A364" s="1" t="str">
        <f>IFERROR(__xludf.DUMMYFUNCTION("""COMPUTED_VALUE"""),"2312-206")</f>
        <v>2312-206</v>
      </c>
      <c r="B364" s="1" t="str">
        <f>IFERROR(__xludf.DUMMYFUNCTION("""COMPUTED_VALUE"""),"Dacumos Remodel")</f>
        <v>Dacumos Remodel</v>
      </c>
      <c r="C364" s="1" t="str">
        <f>IFERROR(__xludf.DUMMYFUNCTION("""COMPUTED_VALUE"""),"Approved - Construction Phase")</f>
        <v>Approved - Construction Phase</v>
      </c>
      <c r="D364" s="4">
        <f>IFERROR(__xludf.DUMMYFUNCTION("""COMPUTED_VALUE"""),735423.0)</f>
        <v>735423</v>
      </c>
      <c r="E364" s="5" t="s">
        <v>34</v>
      </c>
      <c r="J364" s="2" t="s">
        <v>43</v>
      </c>
      <c r="K364" s="2" t="s">
        <v>35</v>
      </c>
      <c r="L364" s="2" t="s">
        <v>35</v>
      </c>
      <c r="M364" s="5" t="s">
        <v>27</v>
      </c>
      <c r="N364" s="5" t="s">
        <v>24</v>
      </c>
      <c r="O364" s="5" t="s">
        <v>24</v>
      </c>
      <c r="S364" s="6"/>
      <c r="T364" s="6"/>
      <c r="U364" s="6"/>
      <c r="V364" s="6"/>
      <c r="W364" s="6"/>
      <c r="X364" s="6"/>
    </row>
    <row r="365">
      <c r="A365" s="1" t="str">
        <f>IFERROR(__xludf.DUMMYFUNCTION("""COMPUTED_VALUE"""),"2312-205")</f>
        <v>2312-205</v>
      </c>
      <c r="B365" s="1" t="str">
        <f>IFERROR(__xludf.DUMMYFUNCTION("""COMPUTED_VALUE"""),"Fierce Fit")</f>
        <v>Fierce Fit</v>
      </c>
      <c r="C365" s="1" t="str">
        <f>IFERROR(__xludf.DUMMYFUNCTION("""COMPUTED_VALUE"""),"Do Not Click - Final Submit for Approval")</f>
        <v>Do Not Click - Final Submit for Approval</v>
      </c>
      <c r="D365" s="4">
        <f>IFERROR(__xludf.DUMMYFUNCTION("""COMPUTED_VALUE"""),736565.0)</f>
        <v>736565</v>
      </c>
      <c r="E365" s="5" t="s">
        <v>34</v>
      </c>
      <c r="F365" s="2"/>
      <c r="J365" s="2" t="s">
        <v>25</v>
      </c>
      <c r="K365" s="2" t="s">
        <v>25</v>
      </c>
      <c r="L365" s="2" t="s">
        <v>23</v>
      </c>
      <c r="M365" s="5" t="s">
        <v>24</v>
      </c>
      <c r="N365" s="5" t="s">
        <v>44</v>
      </c>
      <c r="O365" s="5" t="s">
        <v>44</v>
      </c>
      <c r="S365" s="6"/>
      <c r="T365" s="3">
        <v>46006.24529423611</v>
      </c>
      <c r="U365" s="6"/>
      <c r="V365" s="3">
        <v>46005.00940494213</v>
      </c>
      <c r="W365" s="3"/>
      <c r="X365" s="6"/>
    </row>
    <row r="366">
      <c r="A366" s="1" t="str">
        <f>IFERROR(__xludf.DUMMYFUNCTION("""COMPUTED_VALUE"""),"2312-203")</f>
        <v>2312-203</v>
      </c>
      <c r="B366" s="1" t="str">
        <f>IFERROR(__xludf.DUMMYFUNCTION("""COMPUTED_VALUE"""),"Zheng Chatsworth New Residence")</f>
        <v>Zheng Chatsworth New Residence</v>
      </c>
      <c r="C366" s="1" t="str">
        <f>IFERROR(__xludf.DUMMYFUNCTION("""COMPUTED_VALUE"""),"Abandoned,Expired")</f>
        <v>Abandoned,Expired</v>
      </c>
      <c r="D366" s="4">
        <f>IFERROR(__xludf.DUMMYFUNCTION("""COMPUTED_VALUE"""),721090.0)</f>
        <v>721090</v>
      </c>
      <c r="E366" s="5" t="s">
        <v>20</v>
      </c>
      <c r="J366" s="2" t="s">
        <v>51</v>
      </c>
      <c r="K366" s="2" t="s">
        <v>50</v>
      </c>
      <c r="L366" s="2" t="s">
        <v>25</v>
      </c>
      <c r="M366" s="5" t="s">
        <v>27</v>
      </c>
      <c r="N366" s="5" t="s">
        <v>27</v>
      </c>
      <c r="O366" s="5" t="s">
        <v>27</v>
      </c>
      <c r="S366" s="6"/>
      <c r="T366" s="6"/>
      <c r="U366" s="6"/>
      <c r="V366" s="6"/>
      <c r="W366" s="6"/>
      <c r="X366" s="6"/>
    </row>
    <row r="367">
      <c r="A367" s="1" t="str">
        <f>IFERROR(__xludf.DUMMYFUNCTION("""COMPUTED_VALUE"""),"2312-010")</f>
        <v>2312-010</v>
      </c>
      <c r="B367" s="1" t="str">
        <f>IFERROR(__xludf.DUMMYFUNCTION("""COMPUTED_VALUE"""),"PSG Project Template")</f>
        <v>PSG Project Template</v>
      </c>
      <c r="C367" s="1" t="str">
        <f>IFERROR(__xludf.DUMMYFUNCTION("""COMPUTED_VALUE"""),"A001 Estimate, Proposal &amp; Project Data")</f>
        <v>A001 Estimate, Proposal &amp; Project Data</v>
      </c>
      <c r="D367" s="4">
        <f>IFERROR(__xludf.DUMMYFUNCTION("""COMPUTED_VALUE"""),756172.0)</f>
        <v>756172</v>
      </c>
      <c r="E367" s="5" t="s">
        <v>34</v>
      </c>
      <c r="F367" s="2"/>
      <c r="J367" s="2" t="s">
        <v>47</v>
      </c>
      <c r="K367" s="2" t="s">
        <v>32</v>
      </c>
      <c r="L367" s="2" t="s">
        <v>42</v>
      </c>
      <c r="M367" s="5" t="s">
        <v>27</v>
      </c>
      <c r="N367" s="5" t="s">
        <v>44</v>
      </c>
      <c r="O367" s="5" t="s">
        <v>27</v>
      </c>
      <c r="S367" s="3">
        <v>46006.24488569444</v>
      </c>
      <c r="T367" s="6"/>
      <c r="U367" s="6"/>
      <c r="V367" s="3">
        <v>46005.3590733912</v>
      </c>
      <c r="W367" s="3">
        <v>46005.359105972224</v>
      </c>
      <c r="X367" s="6"/>
    </row>
    <row r="368">
      <c r="A368" s="1" t="str">
        <f>IFERROR(__xludf.DUMMYFUNCTION("""COMPUTED_VALUE"""),"2301-002")</f>
        <v>2301-002</v>
      </c>
      <c r="B368" s="1" t="str">
        <f>IFERROR(__xludf.DUMMYFUNCTION("""COMPUTED_VALUE"""),"Crisp Construction Administration (MFPE)")</f>
        <v>Crisp Construction Administration (MFPE)</v>
      </c>
      <c r="C368" s="1" t="str">
        <f>IFERROR(__xludf.DUMMYFUNCTION("""COMPUTED_VALUE"""),"Approved - Construction Phase")</f>
        <v>Approved - Construction Phase</v>
      </c>
      <c r="D368" s="4">
        <f>IFERROR(__xludf.DUMMYFUNCTION("""COMPUTED_VALUE"""),722758.0)</f>
        <v>722758</v>
      </c>
      <c r="E368" s="5" t="s">
        <v>34</v>
      </c>
      <c r="F368" s="2"/>
      <c r="J368" s="2" t="s">
        <v>51</v>
      </c>
      <c r="K368" s="2" t="s">
        <v>25</v>
      </c>
      <c r="L368" s="2" t="s">
        <v>22</v>
      </c>
      <c r="M368" s="5" t="s">
        <v>48</v>
      </c>
      <c r="N368" s="5" t="s">
        <v>44</v>
      </c>
      <c r="O368" s="2" t="s">
        <v>24</v>
      </c>
      <c r="S368" s="3">
        <v>46006.008951412034</v>
      </c>
      <c r="T368" s="3">
        <v>46005.122207650464</v>
      </c>
      <c r="U368" s="3">
        <v>46006.38477244213</v>
      </c>
      <c r="V368" s="3">
        <v>46006.21565976852</v>
      </c>
      <c r="W368" s="3">
        <v>46005.30316877315</v>
      </c>
      <c r="X368" s="6"/>
    </row>
    <row r="369">
      <c r="A369" s="1"/>
      <c r="B369" s="1"/>
      <c r="C369" s="1"/>
      <c r="D369" s="4"/>
      <c r="S369" s="6"/>
      <c r="T369" s="6"/>
      <c r="U369" s="6"/>
      <c r="V369" s="6"/>
      <c r="W369" s="6"/>
      <c r="X369" s="6"/>
    </row>
    <row r="370">
      <c r="A370" s="1"/>
      <c r="B370" s="1"/>
      <c r="C370" s="1"/>
      <c r="D370" s="4"/>
      <c r="S370" s="6"/>
      <c r="T370" s="6"/>
      <c r="U370" s="6"/>
      <c r="V370" s="6"/>
      <c r="W370" s="6"/>
      <c r="X370" s="6"/>
    </row>
    <row r="371">
      <c r="A371" s="1"/>
      <c r="B371" s="1"/>
      <c r="C371" s="1"/>
      <c r="D371" s="4"/>
      <c r="S371" s="6"/>
      <c r="T371" s="6"/>
      <c r="U371" s="6"/>
      <c r="V371" s="6"/>
      <c r="W371" s="6"/>
      <c r="X371" s="6"/>
    </row>
    <row r="372">
      <c r="A372" s="1"/>
      <c r="B372" s="1"/>
      <c r="C372" s="1"/>
      <c r="D372" s="4"/>
      <c r="S372" s="6"/>
      <c r="T372" s="6"/>
      <c r="U372" s="6"/>
      <c r="V372" s="6"/>
      <c r="W372" s="6"/>
      <c r="X372" s="6"/>
    </row>
    <row r="373">
      <c r="A373" s="1"/>
      <c r="B373" s="1"/>
      <c r="C373" s="1"/>
      <c r="D373" s="4"/>
      <c r="S373" s="6"/>
      <c r="T373" s="6"/>
      <c r="U373" s="6"/>
      <c r="V373" s="6"/>
      <c r="W373" s="6"/>
      <c r="X373" s="6"/>
    </row>
    <row r="374">
      <c r="A374" s="1"/>
      <c r="B374" s="1"/>
      <c r="C374" s="1"/>
      <c r="D374" s="4"/>
      <c r="S374" s="6"/>
      <c r="T374" s="6"/>
      <c r="U374" s="6"/>
      <c r="V374" s="6"/>
      <c r="W374" s="6"/>
      <c r="X374" s="6"/>
    </row>
    <row r="375">
      <c r="A375" s="1"/>
      <c r="B375" s="1"/>
      <c r="C375" s="1"/>
      <c r="D375" s="4"/>
      <c r="S375" s="6"/>
      <c r="T375" s="6"/>
      <c r="U375" s="6"/>
      <c r="V375" s="6"/>
      <c r="W375" s="6"/>
      <c r="X375" s="6"/>
    </row>
    <row r="376">
      <c r="A376" s="1"/>
      <c r="B376" s="1"/>
      <c r="C376" s="1"/>
      <c r="D376" s="4"/>
      <c r="S376" s="6"/>
      <c r="T376" s="6"/>
      <c r="U376" s="6"/>
      <c r="V376" s="6"/>
      <c r="W376" s="6"/>
      <c r="X376" s="6"/>
    </row>
    <row r="377">
      <c r="A377" s="1"/>
      <c r="B377" s="1"/>
      <c r="C377" s="1"/>
      <c r="D377" s="4"/>
      <c r="S377" s="6"/>
      <c r="T377" s="6"/>
      <c r="U377" s="6"/>
      <c r="V377" s="6"/>
      <c r="W377" s="6"/>
      <c r="X377" s="6"/>
    </row>
    <row r="378">
      <c r="A378" s="1"/>
      <c r="B378" s="1"/>
      <c r="C378" s="1"/>
      <c r="D378" s="4"/>
      <c r="S378" s="6"/>
      <c r="T378" s="6"/>
      <c r="U378" s="6"/>
      <c r="V378" s="6"/>
      <c r="W378" s="6"/>
      <c r="X378" s="6"/>
    </row>
    <row r="379">
      <c r="A379" s="1"/>
      <c r="B379" s="1"/>
      <c r="C379" s="1"/>
      <c r="D379" s="4"/>
      <c r="S379" s="6"/>
      <c r="T379" s="6"/>
      <c r="U379" s="6"/>
      <c r="V379" s="6"/>
      <c r="W379" s="6"/>
      <c r="X379" s="6"/>
    </row>
    <row r="380">
      <c r="A380" s="1"/>
      <c r="B380" s="1"/>
      <c r="C380" s="1"/>
      <c r="D380" s="4"/>
      <c r="S380" s="6"/>
      <c r="T380" s="6"/>
      <c r="U380" s="6"/>
      <c r="V380" s="6"/>
      <c r="W380" s="6"/>
      <c r="X380" s="6"/>
    </row>
    <row r="381">
      <c r="A381" s="1"/>
      <c r="B381" s="1"/>
      <c r="C381" s="1"/>
      <c r="D381" s="4"/>
      <c r="S381" s="6"/>
      <c r="T381" s="6"/>
      <c r="U381" s="6"/>
      <c r="V381" s="6"/>
      <c r="W381" s="6"/>
      <c r="X381" s="6"/>
    </row>
    <row r="382">
      <c r="A382" s="1"/>
      <c r="B382" s="1"/>
      <c r="C382" s="1"/>
      <c r="D382" s="4"/>
      <c r="S382" s="6"/>
      <c r="T382" s="6"/>
      <c r="U382" s="6"/>
      <c r="V382" s="6"/>
      <c r="W382" s="6"/>
      <c r="X382" s="6"/>
    </row>
    <row r="383">
      <c r="A383" s="1"/>
      <c r="B383" s="1"/>
      <c r="C383" s="1"/>
      <c r="D383" s="4"/>
      <c r="S383" s="6"/>
      <c r="T383" s="6"/>
      <c r="U383" s="6"/>
      <c r="V383" s="6"/>
      <c r="W383" s="6"/>
      <c r="X383" s="6"/>
    </row>
    <row r="384">
      <c r="A384" s="1"/>
      <c r="B384" s="1"/>
      <c r="C384" s="1"/>
      <c r="D384" s="4"/>
      <c r="S384" s="6"/>
      <c r="T384" s="6"/>
      <c r="U384" s="6"/>
      <c r="V384" s="6"/>
      <c r="W384" s="6"/>
      <c r="X384" s="6"/>
    </row>
    <row r="385">
      <c r="A385" s="1"/>
      <c r="B385" s="1"/>
      <c r="C385" s="1"/>
      <c r="D385" s="4"/>
      <c r="S385" s="6"/>
      <c r="T385" s="6"/>
      <c r="U385" s="6"/>
      <c r="V385" s="6"/>
      <c r="W385" s="6"/>
      <c r="X385" s="6"/>
    </row>
    <row r="386">
      <c r="A386" s="1"/>
      <c r="B386" s="1"/>
      <c r="C386" s="1"/>
      <c r="D386" s="4"/>
      <c r="S386" s="6"/>
      <c r="T386" s="6"/>
      <c r="U386" s="6"/>
      <c r="V386" s="6"/>
      <c r="W386" s="6"/>
      <c r="X386" s="6"/>
    </row>
    <row r="387">
      <c r="A387" s="1"/>
      <c r="B387" s="1"/>
      <c r="C387" s="1"/>
      <c r="D387" s="4"/>
      <c r="S387" s="6"/>
      <c r="T387" s="6"/>
      <c r="U387" s="6"/>
      <c r="V387" s="6"/>
      <c r="W387" s="6"/>
      <c r="X387" s="6"/>
    </row>
    <row r="388">
      <c r="A388" s="1"/>
      <c r="B388" s="1"/>
      <c r="C388" s="1"/>
      <c r="D388" s="4"/>
      <c r="S388" s="6"/>
      <c r="T388" s="6"/>
      <c r="U388" s="6"/>
      <c r="V388" s="6"/>
      <c r="W388" s="6"/>
      <c r="X388" s="6"/>
    </row>
    <row r="389">
      <c r="A389" s="1"/>
      <c r="B389" s="1"/>
      <c r="C389" s="1"/>
      <c r="D389" s="4"/>
      <c r="S389" s="6"/>
      <c r="T389" s="6"/>
      <c r="U389" s="6"/>
      <c r="V389" s="6"/>
      <c r="W389" s="6"/>
      <c r="X389" s="6"/>
    </row>
    <row r="390">
      <c r="A390" s="1"/>
      <c r="B390" s="1"/>
      <c r="C390" s="1"/>
      <c r="D390" s="4"/>
      <c r="S390" s="6"/>
      <c r="T390" s="6"/>
      <c r="U390" s="6"/>
      <c r="V390" s="6"/>
      <c r="W390" s="6"/>
      <c r="X390" s="6"/>
    </row>
    <row r="391">
      <c r="A391" s="1"/>
      <c r="B391" s="1"/>
      <c r="C391" s="1"/>
      <c r="D391" s="4"/>
      <c r="S391" s="6"/>
      <c r="T391" s="6"/>
      <c r="U391" s="6"/>
      <c r="V391" s="6"/>
      <c r="W391" s="6"/>
      <c r="X391" s="6"/>
    </row>
    <row r="392">
      <c r="A392" s="1"/>
      <c r="B392" s="1"/>
      <c r="C392" s="1"/>
      <c r="D392" s="4"/>
      <c r="S392" s="6"/>
      <c r="T392" s="6"/>
      <c r="U392" s="6"/>
      <c r="V392" s="6"/>
      <c r="W392" s="6"/>
      <c r="X392" s="6"/>
    </row>
    <row r="393">
      <c r="A393" s="1"/>
      <c r="B393" s="1"/>
      <c r="C393" s="1"/>
      <c r="D393" s="4"/>
      <c r="S393" s="6"/>
      <c r="T393" s="6"/>
      <c r="U393" s="6"/>
      <c r="V393" s="6"/>
      <c r="W393" s="6"/>
      <c r="X393" s="6"/>
    </row>
    <row r="394">
      <c r="A394" s="1"/>
      <c r="B394" s="1"/>
      <c r="C394" s="1"/>
      <c r="D394" s="4"/>
      <c r="S394" s="6"/>
      <c r="T394" s="6"/>
      <c r="U394" s="6"/>
      <c r="V394" s="6"/>
      <c r="W394" s="6"/>
      <c r="X394" s="6"/>
    </row>
    <row r="395">
      <c r="A395" s="1"/>
      <c r="B395" s="1"/>
      <c r="C395" s="1"/>
      <c r="D395" s="4"/>
      <c r="S395" s="6"/>
      <c r="T395" s="6"/>
      <c r="U395" s="6"/>
      <c r="V395" s="6"/>
      <c r="W395" s="6"/>
      <c r="X395" s="6"/>
    </row>
    <row r="396">
      <c r="A396" s="1"/>
      <c r="B396" s="1"/>
      <c r="C396" s="1"/>
      <c r="D396" s="4"/>
      <c r="S396" s="6"/>
      <c r="T396" s="6"/>
      <c r="U396" s="6"/>
      <c r="V396" s="6"/>
      <c r="W396" s="6"/>
      <c r="X396" s="6"/>
    </row>
    <row r="397">
      <c r="A397" s="1"/>
      <c r="B397" s="1"/>
      <c r="C397" s="1"/>
      <c r="D397" s="4"/>
      <c r="S397" s="6"/>
      <c r="T397" s="6"/>
      <c r="U397" s="6"/>
      <c r="V397" s="6"/>
      <c r="W397" s="6"/>
      <c r="X397" s="6"/>
    </row>
    <row r="398">
      <c r="A398" s="1"/>
      <c r="B398" s="1"/>
      <c r="C398" s="1"/>
      <c r="D398" s="4"/>
      <c r="S398" s="6"/>
      <c r="T398" s="6"/>
      <c r="U398" s="6"/>
      <c r="V398" s="6"/>
      <c r="W398" s="6"/>
      <c r="X398" s="6"/>
    </row>
    <row r="399">
      <c r="A399" s="1"/>
      <c r="B399" s="1"/>
      <c r="C399" s="1"/>
      <c r="D399" s="4"/>
      <c r="S399" s="6"/>
      <c r="T399" s="6"/>
      <c r="U399" s="6"/>
      <c r="V399" s="6"/>
      <c r="W399" s="6"/>
      <c r="X399" s="6"/>
    </row>
    <row r="400">
      <c r="A400" s="1"/>
      <c r="B400" s="1"/>
      <c r="C400" s="1"/>
      <c r="D400" s="4"/>
      <c r="S400" s="6"/>
      <c r="T400" s="6"/>
      <c r="U400" s="6"/>
      <c r="V400" s="6"/>
      <c r="W400" s="6"/>
      <c r="X400" s="6"/>
    </row>
    <row r="401">
      <c r="A401" s="1"/>
      <c r="B401" s="1"/>
      <c r="C401" s="1"/>
      <c r="D401" s="4"/>
      <c r="S401" s="6"/>
      <c r="T401" s="6"/>
      <c r="U401" s="6"/>
      <c r="V401" s="6"/>
      <c r="W401" s="6"/>
      <c r="X401" s="6"/>
    </row>
    <row r="402">
      <c r="A402" s="1"/>
      <c r="B402" s="1"/>
      <c r="C402" s="1"/>
      <c r="D402" s="4"/>
      <c r="S402" s="6"/>
      <c r="T402" s="6"/>
      <c r="U402" s="6"/>
      <c r="V402" s="6"/>
      <c r="W402" s="6"/>
      <c r="X402" s="6"/>
    </row>
    <row r="403">
      <c r="A403" s="1"/>
      <c r="B403" s="1"/>
      <c r="C403" s="1"/>
      <c r="D403" s="4"/>
      <c r="S403" s="6"/>
      <c r="T403" s="6"/>
      <c r="U403" s="6"/>
      <c r="V403" s="6"/>
      <c r="W403" s="6"/>
      <c r="X403" s="6"/>
    </row>
    <row r="404">
      <c r="A404" s="1"/>
      <c r="B404" s="1"/>
      <c r="C404" s="1"/>
      <c r="D404" s="4"/>
      <c r="S404" s="6"/>
      <c r="T404" s="6"/>
      <c r="U404" s="6"/>
      <c r="V404" s="6"/>
      <c r="W404" s="6"/>
      <c r="X404" s="6"/>
    </row>
    <row r="405">
      <c r="A405" s="1"/>
      <c r="B405" s="1"/>
      <c r="C405" s="1"/>
      <c r="D405" s="4"/>
      <c r="S405" s="6"/>
      <c r="T405" s="6"/>
      <c r="U405" s="6"/>
      <c r="V405" s="6"/>
      <c r="W405" s="6"/>
      <c r="X405" s="6"/>
    </row>
    <row r="406">
      <c r="A406" s="1"/>
      <c r="B406" s="1"/>
      <c r="C406" s="1"/>
      <c r="D406" s="4"/>
      <c r="S406" s="6"/>
      <c r="T406" s="6"/>
      <c r="U406" s="6"/>
      <c r="V406" s="6"/>
      <c r="W406" s="6"/>
      <c r="X406" s="6"/>
    </row>
    <row r="407">
      <c r="A407" s="1"/>
      <c r="B407" s="1"/>
      <c r="C407" s="1"/>
      <c r="D407" s="4"/>
      <c r="S407" s="6"/>
      <c r="T407" s="6"/>
      <c r="U407" s="6"/>
      <c r="V407" s="6"/>
      <c r="W407" s="6"/>
      <c r="X407" s="6"/>
    </row>
    <row r="408">
      <c r="A408" s="1"/>
      <c r="B408" s="1"/>
      <c r="C408" s="1"/>
      <c r="D408" s="4"/>
      <c r="S408" s="6"/>
      <c r="T408" s="6"/>
      <c r="U408" s="6"/>
      <c r="V408" s="6"/>
      <c r="W408" s="6"/>
      <c r="X408" s="6"/>
    </row>
    <row r="409">
      <c r="A409" s="1"/>
      <c r="B409" s="1"/>
      <c r="C409" s="1"/>
      <c r="D409" s="4"/>
      <c r="S409" s="6"/>
      <c r="T409" s="6"/>
      <c r="U409" s="6"/>
      <c r="V409" s="6"/>
      <c r="W409" s="6"/>
      <c r="X409" s="6"/>
    </row>
    <row r="410">
      <c r="A410" s="1"/>
      <c r="B410" s="1"/>
      <c r="C410" s="1"/>
      <c r="D410" s="4"/>
      <c r="S410" s="6"/>
      <c r="T410" s="6"/>
      <c r="U410" s="6"/>
      <c r="V410" s="6"/>
      <c r="W410" s="6"/>
      <c r="X410" s="6"/>
    </row>
    <row r="411">
      <c r="A411" s="1"/>
      <c r="B411" s="1"/>
      <c r="C411" s="1"/>
      <c r="D411" s="4"/>
      <c r="S411" s="6"/>
      <c r="T411" s="6"/>
      <c r="U411" s="6"/>
      <c r="V411" s="6"/>
      <c r="W411" s="6"/>
      <c r="X411" s="6"/>
    </row>
    <row r="412">
      <c r="A412" s="1"/>
      <c r="B412" s="1"/>
      <c r="C412" s="1"/>
      <c r="D412" s="4"/>
      <c r="S412" s="6"/>
      <c r="T412" s="6"/>
      <c r="U412" s="6"/>
      <c r="V412" s="6"/>
      <c r="W412" s="6"/>
      <c r="X412" s="6"/>
    </row>
    <row r="413">
      <c r="A413" s="1"/>
      <c r="B413" s="1"/>
      <c r="C413" s="1"/>
      <c r="D413" s="4"/>
      <c r="S413" s="6"/>
      <c r="T413" s="6"/>
      <c r="U413" s="6"/>
      <c r="V413" s="6"/>
      <c r="W413" s="6"/>
      <c r="X413" s="6"/>
    </row>
    <row r="414">
      <c r="A414" s="1"/>
      <c r="B414" s="1"/>
      <c r="C414" s="1"/>
      <c r="D414" s="4"/>
      <c r="S414" s="6"/>
      <c r="T414" s="6"/>
      <c r="U414" s="6"/>
      <c r="V414" s="6"/>
      <c r="W414" s="6"/>
      <c r="X414" s="6"/>
    </row>
    <row r="415">
      <c r="A415" s="1"/>
      <c r="B415" s="1"/>
      <c r="C415" s="1"/>
      <c r="D415" s="4"/>
      <c r="S415" s="6"/>
      <c r="T415" s="6"/>
      <c r="U415" s="6"/>
      <c r="V415" s="6"/>
      <c r="W415" s="6"/>
      <c r="X415" s="6"/>
    </row>
    <row r="416">
      <c r="A416" s="1"/>
      <c r="B416" s="1"/>
      <c r="C416" s="1"/>
      <c r="D416" s="4"/>
      <c r="S416" s="6"/>
      <c r="T416" s="6"/>
      <c r="U416" s="6"/>
      <c r="V416" s="6"/>
      <c r="W416" s="6"/>
      <c r="X416" s="6"/>
    </row>
    <row r="417">
      <c r="A417" s="1"/>
      <c r="B417" s="1"/>
      <c r="C417" s="1"/>
      <c r="D417" s="4"/>
      <c r="S417" s="6"/>
      <c r="T417" s="6"/>
      <c r="U417" s="6"/>
      <c r="V417" s="6"/>
      <c r="W417" s="6"/>
      <c r="X417" s="6"/>
    </row>
    <row r="418">
      <c r="A418" s="1"/>
      <c r="B418" s="1"/>
      <c r="C418" s="1"/>
      <c r="D418" s="4"/>
      <c r="S418" s="6"/>
      <c r="T418" s="6"/>
      <c r="U418" s="6"/>
      <c r="V418" s="6"/>
      <c r="W418" s="6"/>
      <c r="X418" s="6"/>
    </row>
    <row r="419">
      <c r="A419" s="1"/>
      <c r="B419" s="1"/>
      <c r="C419" s="1"/>
      <c r="D419" s="4"/>
      <c r="S419" s="6"/>
      <c r="T419" s="6"/>
      <c r="U419" s="6"/>
      <c r="V419" s="6"/>
      <c r="W419" s="6"/>
      <c r="X419" s="6"/>
    </row>
    <row r="420">
      <c r="A420" s="1"/>
      <c r="B420" s="1"/>
      <c r="C420" s="1"/>
      <c r="D420" s="4"/>
      <c r="S420" s="6"/>
      <c r="T420" s="6"/>
      <c r="U420" s="6"/>
      <c r="V420" s="6"/>
      <c r="W420" s="6"/>
      <c r="X420" s="6"/>
    </row>
    <row r="421">
      <c r="A421" s="1"/>
      <c r="B421" s="1"/>
      <c r="C421" s="1"/>
      <c r="D421" s="4"/>
      <c r="S421" s="6"/>
      <c r="T421" s="6"/>
      <c r="U421" s="6"/>
      <c r="V421" s="6"/>
      <c r="W421" s="6"/>
      <c r="X421" s="6"/>
    </row>
    <row r="422">
      <c r="A422" s="1"/>
      <c r="B422" s="1"/>
      <c r="C422" s="1"/>
      <c r="D422" s="4"/>
      <c r="S422" s="6"/>
      <c r="T422" s="6"/>
      <c r="U422" s="6"/>
      <c r="V422" s="6"/>
      <c r="W422" s="6"/>
      <c r="X422" s="6"/>
    </row>
    <row r="423">
      <c r="A423" s="1"/>
      <c r="B423" s="1"/>
      <c r="C423" s="1"/>
      <c r="D423" s="4"/>
      <c r="S423" s="6"/>
      <c r="T423" s="6"/>
      <c r="U423" s="6"/>
      <c r="V423" s="6"/>
      <c r="W423" s="6"/>
      <c r="X423" s="6"/>
    </row>
    <row r="424">
      <c r="A424" s="1"/>
      <c r="B424" s="1"/>
      <c r="C424" s="1"/>
      <c r="D424" s="4"/>
      <c r="S424" s="6"/>
      <c r="T424" s="6"/>
      <c r="U424" s="6"/>
      <c r="V424" s="6"/>
      <c r="W424" s="6"/>
      <c r="X424" s="6"/>
    </row>
    <row r="425">
      <c r="A425" s="1"/>
      <c r="B425" s="1"/>
      <c r="C425" s="1"/>
      <c r="D425" s="4"/>
      <c r="S425" s="6"/>
      <c r="T425" s="6"/>
      <c r="U425" s="6"/>
      <c r="V425" s="6"/>
      <c r="W425" s="6"/>
      <c r="X425" s="6"/>
    </row>
    <row r="426">
      <c r="A426" s="1"/>
      <c r="B426" s="1"/>
      <c r="C426" s="1"/>
      <c r="D426" s="4"/>
      <c r="S426" s="6"/>
      <c r="T426" s="6"/>
      <c r="U426" s="6"/>
      <c r="V426" s="6"/>
      <c r="W426" s="6"/>
      <c r="X426" s="6"/>
    </row>
    <row r="427">
      <c r="A427" s="1"/>
      <c r="B427" s="1"/>
      <c r="C427" s="1"/>
      <c r="D427" s="4"/>
      <c r="S427" s="6"/>
      <c r="T427" s="6"/>
      <c r="U427" s="6"/>
      <c r="V427" s="6"/>
      <c r="W427" s="6"/>
      <c r="X427" s="6"/>
    </row>
    <row r="428">
      <c r="A428" s="1"/>
      <c r="B428" s="1"/>
      <c r="C428" s="1"/>
      <c r="D428" s="4"/>
      <c r="S428" s="6"/>
      <c r="T428" s="6"/>
      <c r="U428" s="6"/>
      <c r="V428" s="6"/>
      <c r="W428" s="6"/>
      <c r="X428" s="6"/>
    </row>
    <row r="429">
      <c r="A429" s="1"/>
      <c r="B429" s="1"/>
      <c r="C429" s="1"/>
      <c r="D429" s="4"/>
      <c r="S429" s="6"/>
      <c r="T429" s="6"/>
      <c r="U429" s="6"/>
      <c r="V429" s="6"/>
      <c r="W429" s="6"/>
      <c r="X429" s="6"/>
    </row>
    <row r="430">
      <c r="A430" s="1"/>
      <c r="B430" s="1"/>
      <c r="C430" s="1"/>
      <c r="D430" s="4"/>
      <c r="S430" s="6"/>
      <c r="T430" s="6"/>
      <c r="U430" s="6"/>
      <c r="V430" s="6"/>
      <c r="W430" s="6"/>
      <c r="X430" s="6"/>
    </row>
    <row r="431">
      <c r="A431" s="1"/>
      <c r="B431" s="1"/>
      <c r="C431" s="1"/>
      <c r="D431" s="4"/>
      <c r="S431" s="6"/>
      <c r="T431" s="6"/>
      <c r="U431" s="6"/>
      <c r="V431" s="6"/>
      <c r="W431" s="6"/>
      <c r="X431" s="6"/>
    </row>
    <row r="432">
      <c r="A432" s="1"/>
      <c r="B432" s="1"/>
      <c r="C432" s="1"/>
      <c r="D432" s="4"/>
      <c r="S432" s="6"/>
      <c r="T432" s="6"/>
      <c r="U432" s="6"/>
      <c r="V432" s="6"/>
      <c r="W432" s="6"/>
      <c r="X432" s="6"/>
    </row>
    <row r="433">
      <c r="A433" s="1"/>
      <c r="B433" s="1"/>
      <c r="C433" s="1"/>
      <c r="D433" s="4"/>
      <c r="S433" s="6"/>
      <c r="T433" s="6"/>
      <c r="U433" s="6"/>
      <c r="V433" s="6"/>
      <c r="W433" s="6"/>
      <c r="X433" s="6"/>
    </row>
    <row r="434">
      <c r="A434" s="1"/>
      <c r="B434" s="1"/>
      <c r="C434" s="1"/>
      <c r="D434" s="4"/>
      <c r="S434" s="6"/>
      <c r="T434" s="6"/>
      <c r="U434" s="6"/>
      <c r="V434" s="6"/>
      <c r="W434" s="6"/>
      <c r="X434" s="6"/>
    </row>
    <row r="435">
      <c r="A435" s="1"/>
      <c r="B435" s="1"/>
      <c r="C435" s="1"/>
      <c r="D435" s="4"/>
      <c r="S435" s="6"/>
      <c r="T435" s="6"/>
      <c r="U435" s="6"/>
      <c r="V435" s="6"/>
      <c r="W435" s="6"/>
      <c r="X435" s="6"/>
    </row>
    <row r="436">
      <c r="A436" s="1"/>
      <c r="B436" s="1"/>
      <c r="C436" s="1"/>
      <c r="D436" s="4"/>
      <c r="S436" s="6"/>
      <c r="T436" s="6"/>
      <c r="U436" s="6"/>
      <c r="V436" s="6"/>
      <c r="W436" s="6"/>
      <c r="X436" s="6"/>
    </row>
    <row r="437">
      <c r="A437" s="1"/>
      <c r="B437" s="1"/>
      <c r="C437" s="1"/>
      <c r="D437" s="4"/>
      <c r="S437" s="6"/>
      <c r="T437" s="6"/>
      <c r="U437" s="6"/>
      <c r="V437" s="6"/>
      <c r="W437" s="6"/>
      <c r="X437" s="6"/>
    </row>
    <row r="438">
      <c r="A438" s="1"/>
      <c r="B438" s="1"/>
      <c r="C438" s="1"/>
      <c r="D438" s="4"/>
      <c r="S438" s="6"/>
      <c r="T438" s="6"/>
      <c r="U438" s="6"/>
      <c r="V438" s="6"/>
      <c r="W438" s="6"/>
      <c r="X438" s="6"/>
    </row>
    <row r="439">
      <c r="A439" s="1"/>
      <c r="B439" s="1"/>
      <c r="C439" s="1"/>
      <c r="D439" s="4"/>
      <c r="S439" s="6"/>
      <c r="T439" s="6"/>
      <c r="U439" s="6"/>
      <c r="V439" s="6"/>
      <c r="W439" s="6"/>
      <c r="X439" s="6"/>
    </row>
    <row r="440">
      <c r="A440" s="1"/>
      <c r="B440" s="1"/>
      <c r="C440" s="1"/>
      <c r="D440" s="4"/>
      <c r="S440" s="6"/>
      <c r="T440" s="6"/>
      <c r="U440" s="6"/>
      <c r="V440" s="6"/>
      <c r="W440" s="6"/>
      <c r="X440" s="6"/>
    </row>
    <row r="441">
      <c r="A441" s="1"/>
      <c r="B441" s="1"/>
      <c r="C441" s="1"/>
      <c r="D441" s="4"/>
      <c r="S441" s="6"/>
      <c r="T441" s="6"/>
      <c r="U441" s="6"/>
      <c r="V441" s="6"/>
      <c r="W441" s="6"/>
      <c r="X441" s="6"/>
    </row>
    <row r="442">
      <c r="A442" s="1"/>
      <c r="B442" s="1"/>
      <c r="C442" s="1"/>
      <c r="D442" s="4"/>
      <c r="S442" s="6"/>
      <c r="T442" s="6"/>
      <c r="U442" s="6"/>
      <c r="V442" s="6"/>
      <c r="W442" s="6"/>
      <c r="X442" s="6"/>
    </row>
    <row r="443">
      <c r="A443" s="1"/>
      <c r="B443" s="1"/>
      <c r="C443" s="1"/>
      <c r="D443" s="4"/>
      <c r="S443" s="6"/>
      <c r="T443" s="6"/>
      <c r="U443" s="6"/>
      <c r="V443" s="6"/>
      <c r="W443" s="6"/>
      <c r="X443" s="6"/>
    </row>
    <row r="444">
      <c r="A444" s="1"/>
      <c r="B444" s="1"/>
      <c r="C444" s="1"/>
      <c r="D444" s="4"/>
      <c r="S444" s="6"/>
      <c r="T444" s="6"/>
      <c r="U444" s="6"/>
      <c r="V444" s="6"/>
      <c r="W444" s="6"/>
      <c r="X444" s="6"/>
    </row>
    <row r="445">
      <c r="A445" s="1"/>
      <c r="B445" s="1"/>
      <c r="C445" s="1"/>
      <c r="D445" s="4"/>
      <c r="S445" s="6"/>
      <c r="T445" s="6"/>
      <c r="U445" s="6"/>
      <c r="V445" s="6"/>
      <c r="W445" s="6"/>
      <c r="X445" s="6"/>
    </row>
    <row r="446">
      <c r="A446" s="1"/>
      <c r="B446" s="1"/>
      <c r="C446" s="1"/>
      <c r="D446" s="4"/>
      <c r="S446" s="6"/>
      <c r="T446" s="6"/>
      <c r="U446" s="6"/>
      <c r="V446" s="6"/>
      <c r="W446" s="6"/>
      <c r="X446" s="6"/>
    </row>
    <row r="447">
      <c r="A447" s="1"/>
      <c r="B447" s="1"/>
      <c r="C447" s="1"/>
      <c r="D447" s="4"/>
      <c r="S447" s="6"/>
      <c r="T447" s="6"/>
      <c r="U447" s="6"/>
      <c r="V447" s="6"/>
      <c r="W447" s="6"/>
      <c r="X447" s="6"/>
    </row>
    <row r="448">
      <c r="A448" s="1"/>
      <c r="B448" s="1"/>
      <c r="C448" s="1"/>
      <c r="D448" s="4"/>
      <c r="S448" s="6"/>
      <c r="T448" s="6"/>
      <c r="U448" s="6"/>
      <c r="V448" s="6"/>
      <c r="W448" s="6"/>
      <c r="X448" s="6"/>
    </row>
    <row r="449">
      <c r="A449" s="1"/>
      <c r="B449" s="1"/>
      <c r="C449" s="1"/>
      <c r="D449" s="4"/>
      <c r="S449" s="6"/>
      <c r="T449" s="6"/>
      <c r="U449" s="6"/>
      <c r="V449" s="6"/>
      <c r="W449" s="6"/>
      <c r="X449" s="6"/>
    </row>
    <row r="450">
      <c r="A450" s="1"/>
      <c r="B450" s="1"/>
      <c r="C450" s="1"/>
      <c r="D450" s="4"/>
      <c r="S450" s="6"/>
      <c r="T450" s="6"/>
      <c r="U450" s="6"/>
      <c r="V450" s="6"/>
      <c r="W450" s="6"/>
      <c r="X450" s="6"/>
    </row>
    <row r="451">
      <c r="A451" s="1"/>
      <c r="B451" s="1"/>
      <c r="C451" s="1"/>
      <c r="D451" s="4"/>
      <c r="S451" s="6"/>
      <c r="T451" s="6"/>
      <c r="U451" s="6"/>
      <c r="V451" s="6"/>
      <c r="W451" s="6"/>
      <c r="X451" s="6"/>
    </row>
    <row r="452">
      <c r="A452" s="1"/>
      <c r="B452" s="1"/>
      <c r="C452" s="1"/>
      <c r="D452" s="4"/>
      <c r="S452" s="6"/>
      <c r="T452" s="6"/>
      <c r="U452" s="6"/>
      <c r="V452" s="6"/>
      <c r="W452" s="6"/>
      <c r="X452" s="6"/>
    </row>
    <row r="453">
      <c r="A453" s="1"/>
      <c r="B453" s="1"/>
      <c r="C453" s="1"/>
      <c r="D453" s="4"/>
      <c r="S453" s="6"/>
      <c r="T453" s="6"/>
      <c r="U453" s="6"/>
      <c r="V453" s="6"/>
      <c r="W453" s="6"/>
      <c r="X453" s="6"/>
    </row>
    <row r="454">
      <c r="A454" s="1"/>
      <c r="B454" s="1"/>
      <c r="C454" s="1"/>
      <c r="D454" s="4"/>
      <c r="S454" s="6"/>
      <c r="T454" s="6"/>
      <c r="U454" s="6"/>
      <c r="V454" s="6"/>
      <c r="W454" s="6"/>
      <c r="X454" s="6"/>
    </row>
    <row r="455">
      <c r="A455" s="1"/>
      <c r="B455" s="1"/>
      <c r="C455" s="1"/>
      <c r="D455" s="4"/>
      <c r="S455" s="6"/>
      <c r="T455" s="6"/>
      <c r="U455" s="6"/>
      <c r="V455" s="6"/>
      <c r="W455" s="6"/>
      <c r="X455" s="6"/>
    </row>
    <row r="456">
      <c r="A456" s="1"/>
      <c r="B456" s="1"/>
      <c r="C456" s="1"/>
      <c r="D456" s="4"/>
      <c r="S456" s="6"/>
      <c r="T456" s="6"/>
      <c r="U456" s="6"/>
      <c r="V456" s="6"/>
      <c r="W456" s="6"/>
      <c r="X456" s="6"/>
    </row>
    <row r="457">
      <c r="A457" s="1"/>
      <c r="B457" s="1"/>
      <c r="C457" s="1"/>
      <c r="D457" s="4"/>
      <c r="S457" s="6"/>
      <c r="T457" s="6"/>
      <c r="U457" s="6"/>
      <c r="V457" s="6"/>
      <c r="W457" s="6"/>
      <c r="X457" s="6"/>
    </row>
    <row r="458">
      <c r="A458" s="1"/>
      <c r="B458" s="1"/>
      <c r="C458" s="1"/>
      <c r="D458" s="4"/>
      <c r="S458" s="6"/>
      <c r="T458" s="6"/>
      <c r="U458" s="6"/>
      <c r="V458" s="6"/>
      <c r="W458" s="6"/>
      <c r="X458" s="6"/>
    </row>
    <row r="459">
      <c r="A459" s="1"/>
      <c r="B459" s="1"/>
      <c r="C459" s="1"/>
      <c r="D459" s="4"/>
      <c r="S459" s="6"/>
      <c r="T459" s="6"/>
      <c r="U459" s="6"/>
      <c r="V459" s="6"/>
      <c r="W459" s="6"/>
      <c r="X459" s="6"/>
    </row>
    <row r="460">
      <c r="A460" s="1"/>
      <c r="B460" s="1"/>
      <c r="C460" s="1"/>
      <c r="D460" s="4"/>
      <c r="S460" s="6"/>
      <c r="T460" s="6"/>
      <c r="U460" s="6"/>
      <c r="V460" s="6"/>
      <c r="W460" s="6"/>
      <c r="X460" s="6"/>
    </row>
    <row r="461">
      <c r="A461" s="1"/>
      <c r="B461" s="1"/>
      <c r="C461" s="1"/>
      <c r="D461" s="4"/>
      <c r="S461" s="6"/>
      <c r="T461" s="6"/>
      <c r="U461" s="6"/>
      <c r="V461" s="6"/>
      <c r="W461" s="6"/>
      <c r="X461" s="6"/>
    </row>
    <row r="462">
      <c r="A462" s="1"/>
      <c r="B462" s="1"/>
      <c r="C462" s="1"/>
      <c r="D462" s="4"/>
      <c r="S462" s="6"/>
      <c r="T462" s="6"/>
      <c r="U462" s="6"/>
      <c r="V462" s="6"/>
      <c r="W462" s="6"/>
      <c r="X462" s="6"/>
    </row>
    <row r="463">
      <c r="A463" s="1"/>
      <c r="B463" s="1"/>
      <c r="C463" s="1"/>
      <c r="D463" s="4"/>
      <c r="S463" s="6"/>
      <c r="T463" s="6"/>
      <c r="U463" s="6"/>
      <c r="V463" s="6"/>
      <c r="W463" s="6"/>
      <c r="X463" s="6"/>
    </row>
    <row r="464">
      <c r="A464" s="1"/>
      <c r="B464" s="1"/>
      <c r="C464" s="1"/>
      <c r="D464" s="4"/>
      <c r="S464" s="6"/>
      <c r="T464" s="6"/>
      <c r="U464" s="6"/>
      <c r="V464" s="6"/>
      <c r="W464" s="6"/>
      <c r="X464" s="6"/>
    </row>
    <row r="465">
      <c r="A465" s="1"/>
      <c r="B465" s="1"/>
      <c r="C465" s="1"/>
      <c r="D465" s="4"/>
      <c r="S465" s="6"/>
      <c r="T465" s="6"/>
      <c r="U465" s="6"/>
      <c r="V465" s="6"/>
      <c r="W465" s="6"/>
      <c r="X465" s="6"/>
    </row>
    <row r="466">
      <c r="A466" s="1"/>
      <c r="B466" s="1"/>
      <c r="C466" s="1"/>
      <c r="D466" s="4"/>
      <c r="S466" s="6"/>
      <c r="T466" s="6"/>
      <c r="U466" s="6"/>
      <c r="V466" s="6"/>
      <c r="W466" s="6"/>
      <c r="X466" s="6"/>
    </row>
    <row r="467">
      <c r="A467" s="1"/>
      <c r="B467" s="1"/>
      <c r="C467" s="1"/>
      <c r="D467" s="4"/>
      <c r="S467" s="6"/>
      <c r="T467" s="6"/>
      <c r="U467" s="6"/>
      <c r="V467" s="6"/>
      <c r="W467" s="6"/>
      <c r="X467" s="6"/>
    </row>
    <row r="468">
      <c r="A468" s="1"/>
      <c r="B468" s="1"/>
      <c r="C468" s="1"/>
      <c r="D468" s="4"/>
      <c r="S468" s="6"/>
      <c r="T468" s="6"/>
      <c r="U468" s="6"/>
      <c r="V468" s="6"/>
      <c r="W468" s="6"/>
      <c r="X468" s="6"/>
    </row>
    <row r="469">
      <c r="A469" s="1"/>
      <c r="B469" s="1"/>
      <c r="C469" s="1"/>
      <c r="D469" s="4"/>
      <c r="S469" s="6"/>
      <c r="T469" s="6"/>
      <c r="U469" s="6"/>
      <c r="V469" s="6"/>
      <c r="W469" s="6"/>
      <c r="X469" s="6"/>
    </row>
    <row r="470">
      <c r="A470" s="1"/>
      <c r="B470" s="1"/>
      <c r="C470" s="1"/>
      <c r="D470" s="4"/>
      <c r="S470" s="6"/>
      <c r="T470" s="6"/>
      <c r="U470" s="6"/>
      <c r="V470" s="6"/>
      <c r="W470" s="6"/>
      <c r="X470" s="6"/>
    </row>
    <row r="471">
      <c r="A471" s="1"/>
      <c r="B471" s="1"/>
      <c r="C471" s="1"/>
      <c r="D471" s="4"/>
      <c r="S471" s="6"/>
      <c r="T471" s="6"/>
      <c r="U471" s="6"/>
      <c r="V471" s="6"/>
      <c r="W471" s="6"/>
      <c r="X471" s="6"/>
    </row>
    <row r="472">
      <c r="A472" s="1"/>
      <c r="B472" s="1"/>
      <c r="C472" s="1"/>
      <c r="D472" s="4"/>
      <c r="S472" s="6"/>
      <c r="T472" s="6"/>
      <c r="U472" s="6"/>
      <c r="V472" s="6"/>
      <c r="W472" s="6"/>
      <c r="X472" s="6"/>
    </row>
    <row r="473">
      <c r="A473" s="1"/>
      <c r="B473" s="1"/>
      <c r="C473" s="1"/>
      <c r="D473" s="4"/>
      <c r="S473" s="6"/>
      <c r="T473" s="6"/>
      <c r="U473" s="6"/>
      <c r="V473" s="6"/>
      <c r="W473" s="6"/>
      <c r="X473" s="6"/>
    </row>
    <row r="474">
      <c r="A474" s="1"/>
      <c r="B474" s="1"/>
      <c r="C474" s="1"/>
      <c r="D474" s="4"/>
      <c r="S474" s="6"/>
      <c r="T474" s="6"/>
      <c r="U474" s="6"/>
      <c r="V474" s="6"/>
      <c r="W474" s="6"/>
      <c r="X474" s="6"/>
    </row>
    <row r="475">
      <c r="A475" s="1"/>
      <c r="B475" s="1"/>
      <c r="C475" s="1"/>
      <c r="D475" s="4"/>
      <c r="S475" s="6"/>
      <c r="T475" s="6"/>
      <c r="U475" s="6"/>
      <c r="V475" s="6"/>
      <c r="W475" s="6"/>
      <c r="X475" s="6"/>
    </row>
    <row r="476">
      <c r="A476" s="1"/>
      <c r="B476" s="1"/>
      <c r="C476" s="1"/>
      <c r="D476" s="4"/>
      <c r="S476" s="6"/>
      <c r="T476" s="6"/>
      <c r="U476" s="6"/>
      <c r="V476" s="6"/>
      <c r="W476" s="6"/>
      <c r="X476" s="6"/>
    </row>
    <row r="477">
      <c r="A477" s="1"/>
      <c r="B477" s="1"/>
      <c r="C477" s="1"/>
      <c r="D477" s="4"/>
      <c r="S477" s="6"/>
      <c r="T477" s="6"/>
      <c r="U477" s="6"/>
      <c r="V477" s="6"/>
      <c r="W477" s="6"/>
      <c r="X477" s="6"/>
    </row>
    <row r="478">
      <c r="A478" s="1"/>
      <c r="B478" s="1"/>
      <c r="C478" s="1"/>
      <c r="D478" s="4"/>
      <c r="S478" s="6"/>
      <c r="T478" s="6"/>
      <c r="U478" s="6"/>
      <c r="V478" s="6"/>
      <c r="W478" s="6"/>
      <c r="X478" s="6"/>
    </row>
    <row r="479">
      <c r="A479" s="1"/>
      <c r="B479" s="1"/>
      <c r="C479" s="1"/>
      <c r="D479" s="4"/>
      <c r="S479" s="6"/>
      <c r="T479" s="6"/>
      <c r="U479" s="6"/>
      <c r="V479" s="6"/>
      <c r="W479" s="6"/>
      <c r="X479" s="6"/>
    </row>
    <row r="480">
      <c r="A480" s="1"/>
      <c r="B480" s="1"/>
      <c r="C480" s="1"/>
      <c r="D480" s="4"/>
      <c r="S480" s="6"/>
      <c r="T480" s="6"/>
      <c r="U480" s="6"/>
      <c r="V480" s="6"/>
      <c r="W480" s="6"/>
      <c r="X480" s="6"/>
    </row>
    <row r="481">
      <c r="A481" s="1"/>
      <c r="B481" s="1"/>
      <c r="C481" s="1"/>
      <c r="D481" s="4"/>
      <c r="S481" s="6"/>
      <c r="T481" s="6"/>
      <c r="U481" s="6"/>
      <c r="V481" s="6"/>
      <c r="W481" s="6"/>
      <c r="X481" s="6"/>
    </row>
    <row r="482">
      <c r="A482" s="1"/>
      <c r="B482" s="1"/>
      <c r="C482" s="1"/>
      <c r="D482" s="4"/>
      <c r="S482" s="6"/>
      <c r="T482" s="6"/>
      <c r="U482" s="6"/>
      <c r="V482" s="6"/>
      <c r="W482" s="6"/>
      <c r="X482" s="6"/>
    </row>
    <row r="483">
      <c r="A483" s="1"/>
      <c r="B483" s="1"/>
      <c r="C483" s="1"/>
      <c r="D483" s="4"/>
      <c r="S483" s="6"/>
      <c r="T483" s="6"/>
      <c r="U483" s="6"/>
      <c r="V483" s="6"/>
      <c r="W483" s="6"/>
      <c r="X483" s="6"/>
    </row>
    <row r="484">
      <c r="A484" s="1"/>
      <c r="B484" s="1"/>
      <c r="C484" s="1"/>
      <c r="D484" s="4"/>
      <c r="S484" s="6"/>
      <c r="T484" s="6"/>
      <c r="U484" s="6"/>
      <c r="V484" s="6"/>
      <c r="W484" s="6"/>
      <c r="X484" s="6"/>
    </row>
    <row r="485">
      <c r="A485" s="1"/>
      <c r="B485" s="1"/>
      <c r="C485" s="1"/>
      <c r="D485" s="4"/>
      <c r="S485" s="6"/>
      <c r="T485" s="6"/>
      <c r="U485" s="6"/>
      <c r="V485" s="6"/>
      <c r="W485" s="6"/>
      <c r="X485" s="6"/>
    </row>
    <row r="486">
      <c r="A486" s="1"/>
      <c r="B486" s="1"/>
      <c r="C486" s="1"/>
      <c r="D486" s="4"/>
      <c r="S486" s="6"/>
      <c r="T486" s="6"/>
      <c r="U486" s="6"/>
      <c r="V486" s="6"/>
      <c r="W486" s="6"/>
      <c r="X486" s="6"/>
    </row>
    <row r="487">
      <c r="A487" s="1"/>
      <c r="B487" s="1"/>
      <c r="C487" s="1"/>
      <c r="D487" s="4"/>
      <c r="S487" s="6"/>
      <c r="T487" s="6"/>
      <c r="U487" s="6"/>
      <c r="V487" s="6"/>
      <c r="W487" s="6"/>
      <c r="X487" s="6"/>
    </row>
    <row r="488">
      <c r="A488" s="1"/>
      <c r="B488" s="1"/>
      <c r="C488" s="1"/>
      <c r="D488" s="4"/>
      <c r="S488" s="6"/>
      <c r="T488" s="6"/>
      <c r="U488" s="6"/>
      <c r="V488" s="6"/>
      <c r="W488" s="6"/>
      <c r="X488" s="6"/>
    </row>
    <row r="489">
      <c r="A489" s="1"/>
      <c r="B489" s="1"/>
      <c r="C489" s="1"/>
      <c r="D489" s="4"/>
      <c r="S489" s="6"/>
      <c r="T489" s="6"/>
      <c r="U489" s="6"/>
      <c r="V489" s="6"/>
      <c r="W489" s="6"/>
      <c r="X489" s="6"/>
    </row>
    <row r="490">
      <c r="A490" s="1"/>
      <c r="B490" s="1"/>
      <c r="C490" s="1"/>
      <c r="D490" s="4"/>
      <c r="S490" s="6"/>
      <c r="T490" s="6"/>
      <c r="U490" s="6"/>
      <c r="V490" s="6"/>
      <c r="W490" s="6"/>
      <c r="X490" s="6"/>
    </row>
    <row r="491">
      <c r="A491" s="1"/>
      <c r="B491" s="1"/>
      <c r="C491" s="1"/>
      <c r="D491" s="4"/>
      <c r="S491" s="6"/>
      <c r="T491" s="6"/>
      <c r="U491" s="6"/>
      <c r="V491" s="6"/>
      <c r="W491" s="6"/>
      <c r="X491" s="6"/>
    </row>
    <row r="492">
      <c r="A492" s="1"/>
      <c r="B492" s="1"/>
      <c r="C492" s="1"/>
      <c r="D492" s="4"/>
      <c r="S492" s="6"/>
      <c r="T492" s="6"/>
      <c r="U492" s="6"/>
      <c r="V492" s="6"/>
      <c r="W492" s="6"/>
      <c r="X492" s="6"/>
    </row>
    <row r="493">
      <c r="A493" s="1"/>
      <c r="B493" s="1"/>
      <c r="C493" s="1"/>
      <c r="D493" s="4"/>
      <c r="S493" s="6"/>
      <c r="T493" s="6"/>
      <c r="U493" s="6"/>
      <c r="V493" s="6"/>
      <c r="W493" s="6"/>
      <c r="X493" s="6"/>
    </row>
    <row r="494">
      <c r="A494" s="1"/>
      <c r="B494" s="1"/>
      <c r="C494" s="1"/>
      <c r="D494" s="4"/>
      <c r="S494" s="6"/>
      <c r="T494" s="6"/>
      <c r="U494" s="6"/>
      <c r="V494" s="6"/>
      <c r="W494" s="6"/>
      <c r="X494" s="6"/>
    </row>
    <row r="495">
      <c r="A495" s="1"/>
      <c r="B495" s="1"/>
      <c r="C495" s="1"/>
      <c r="D495" s="4"/>
      <c r="S495" s="6"/>
      <c r="T495" s="6"/>
      <c r="U495" s="6"/>
      <c r="V495" s="6"/>
      <c r="W495" s="6"/>
      <c r="X495" s="6"/>
    </row>
    <row r="496">
      <c r="A496" s="1"/>
      <c r="B496" s="1"/>
      <c r="C496" s="1"/>
      <c r="D496" s="4"/>
      <c r="S496" s="6"/>
      <c r="T496" s="6"/>
      <c r="U496" s="6"/>
      <c r="V496" s="6"/>
      <c r="W496" s="6"/>
      <c r="X496" s="6"/>
    </row>
    <row r="497">
      <c r="A497" s="1"/>
      <c r="B497" s="1"/>
      <c r="C497" s="1"/>
      <c r="D497" s="4"/>
      <c r="S497" s="6"/>
      <c r="T497" s="6"/>
      <c r="U497" s="6"/>
      <c r="V497" s="6"/>
      <c r="W497" s="6"/>
      <c r="X497" s="6"/>
    </row>
    <row r="498">
      <c r="A498" s="1"/>
      <c r="B498" s="1"/>
      <c r="C498" s="1"/>
      <c r="D498" s="4"/>
      <c r="S498" s="6"/>
      <c r="T498" s="6"/>
      <c r="U498" s="6"/>
      <c r="V498" s="6"/>
      <c r="W498" s="6"/>
      <c r="X498" s="6"/>
    </row>
    <row r="499">
      <c r="A499" s="1"/>
      <c r="B499" s="1"/>
      <c r="C499" s="1"/>
      <c r="D499" s="4"/>
      <c r="S499" s="6"/>
      <c r="T499" s="6"/>
      <c r="U499" s="6"/>
      <c r="V499" s="6"/>
      <c r="W499" s="6"/>
      <c r="X499" s="6"/>
    </row>
    <row r="500">
      <c r="A500" s="1"/>
      <c r="B500" s="1"/>
      <c r="C500" s="1"/>
      <c r="D500" s="4"/>
      <c r="S500" s="6"/>
      <c r="T500" s="6"/>
      <c r="U500" s="6"/>
      <c r="V500" s="6"/>
      <c r="W500" s="6"/>
      <c r="X5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3" max="3" width="33.0"/>
    <col customWidth="1" min="5" max="5" width="19.14"/>
    <col customWidth="1" min="6" max="6" width="21.43"/>
  </cols>
  <sheetData>
    <row r="1">
      <c r="A1" s="2" t="s">
        <v>60</v>
      </c>
      <c r="B1" s="2" t="s">
        <v>61</v>
      </c>
      <c r="C1" s="2" t="s">
        <v>62</v>
      </c>
    </row>
    <row r="2">
      <c r="A2" s="2" t="s">
        <v>63</v>
      </c>
      <c r="B2" s="5" t="s">
        <v>64</v>
      </c>
      <c r="C2" s="2" t="s">
        <v>65</v>
      </c>
    </row>
    <row r="3">
      <c r="A3" s="2" t="s">
        <v>66</v>
      </c>
      <c r="B3" s="5" t="s">
        <v>67</v>
      </c>
      <c r="C3" s="2" t="s">
        <v>68</v>
      </c>
    </row>
    <row r="4">
      <c r="A4" s="2" t="s">
        <v>0</v>
      </c>
      <c r="B4" s="5" t="s">
        <v>21</v>
      </c>
      <c r="C4" s="7" t="s">
        <v>69</v>
      </c>
    </row>
    <row r="5">
      <c r="A5" s="2" t="s">
        <v>0</v>
      </c>
      <c r="B5" s="5" t="s">
        <v>34</v>
      </c>
      <c r="C5" s="2" t="s">
        <v>70</v>
      </c>
    </row>
    <row r="6">
      <c r="A6" s="2" t="s">
        <v>63</v>
      </c>
      <c r="B6" s="5" t="s">
        <v>71</v>
      </c>
      <c r="C6" s="2" t="s">
        <v>72</v>
      </c>
    </row>
    <row r="7">
      <c r="A7" s="2" t="s">
        <v>66</v>
      </c>
      <c r="B7" s="5" t="s">
        <v>39</v>
      </c>
      <c r="C7" s="2" t="s">
        <v>73</v>
      </c>
    </row>
    <row r="8">
      <c r="A8" s="2" t="s">
        <v>66</v>
      </c>
      <c r="B8" s="5" t="s">
        <v>40</v>
      </c>
      <c r="C8" s="2" t="s">
        <v>74</v>
      </c>
    </row>
    <row r="9">
      <c r="A9" s="2" t="s">
        <v>63</v>
      </c>
      <c r="B9" s="5" t="s">
        <v>75</v>
      </c>
      <c r="C9" s="2" t="s">
        <v>76</v>
      </c>
    </row>
    <row r="10">
      <c r="A10" s="2" t="s">
        <v>66</v>
      </c>
      <c r="B10" s="5" t="s">
        <v>52</v>
      </c>
      <c r="C10" s="2" t="s">
        <v>77</v>
      </c>
    </row>
    <row r="11">
      <c r="A11" s="2" t="s">
        <v>1</v>
      </c>
      <c r="B11" s="5" t="s">
        <v>78</v>
      </c>
      <c r="C11" s="2" t="s">
        <v>79</v>
      </c>
    </row>
    <row r="12">
      <c r="A12" s="2" t="s">
        <v>1</v>
      </c>
      <c r="B12" s="5" t="s">
        <v>80</v>
      </c>
      <c r="C12" s="2" t="s">
        <v>81</v>
      </c>
    </row>
    <row r="13">
      <c r="A13" s="2" t="s">
        <v>0</v>
      </c>
      <c r="B13" s="5" t="s">
        <v>20</v>
      </c>
      <c r="C13" s="2" t="s">
        <v>82</v>
      </c>
    </row>
    <row r="14">
      <c r="A14" s="2" t="s">
        <v>63</v>
      </c>
      <c r="B14" s="5" t="s">
        <v>83</v>
      </c>
      <c r="C14" s="2" t="s">
        <v>84</v>
      </c>
    </row>
    <row r="15">
      <c r="A15" s="2" t="s">
        <v>66</v>
      </c>
      <c r="B15" s="5" t="s">
        <v>49</v>
      </c>
      <c r="C15" s="2" t="s">
        <v>85</v>
      </c>
    </row>
    <row r="16">
      <c r="A16" s="2" t="s">
        <v>66</v>
      </c>
      <c r="B16" s="5" t="s">
        <v>47</v>
      </c>
      <c r="C16" s="2" t="s">
        <v>86</v>
      </c>
    </row>
    <row r="17">
      <c r="A17" s="2" t="s">
        <v>66</v>
      </c>
      <c r="B17" s="5" t="s">
        <v>23</v>
      </c>
      <c r="C17" s="2" t="s">
        <v>87</v>
      </c>
    </row>
    <row r="18">
      <c r="A18" s="2" t="s">
        <v>63</v>
      </c>
      <c r="B18" s="5" t="s">
        <v>88</v>
      </c>
      <c r="C18" s="2" t="s">
        <v>89</v>
      </c>
    </row>
    <row r="19">
      <c r="A19" s="2" t="s">
        <v>66</v>
      </c>
      <c r="B19" s="5" t="s">
        <v>90</v>
      </c>
      <c r="C19" s="2" t="s">
        <v>91</v>
      </c>
    </row>
    <row r="20">
      <c r="A20" s="2" t="s">
        <v>66</v>
      </c>
      <c r="B20" s="5" t="s">
        <v>33</v>
      </c>
      <c r="C20" s="2" t="s">
        <v>92</v>
      </c>
    </row>
    <row r="21">
      <c r="A21" s="2" t="s">
        <v>66</v>
      </c>
      <c r="B21" s="5" t="s">
        <v>43</v>
      </c>
      <c r="C21" s="2" t="s">
        <v>93</v>
      </c>
    </row>
    <row r="22">
      <c r="A22" s="2" t="s">
        <v>66</v>
      </c>
      <c r="B22" s="5" t="s">
        <v>32</v>
      </c>
      <c r="C22" s="2" t="s">
        <v>94</v>
      </c>
    </row>
    <row r="23">
      <c r="A23" s="2" t="s">
        <v>66</v>
      </c>
      <c r="B23" s="5" t="s">
        <v>25</v>
      </c>
      <c r="C23" s="2" t="s">
        <v>95</v>
      </c>
    </row>
    <row r="24">
      <c r="A24" s="2" t="s">
        <v>66</v>
      </c>
      <c r="B24" s="5" t="s">
        <v>42</v>
      </c>
      <c r="C24" s="2" t="s">
        <v>96</v>
      </c>
    </row>
    <row r="25">
      <c r="A25" s="2" t="s">
        <v>66</v>
      </c>
      <c r="B25" s="5" t="s">
        <v>36</v>
      </c>
      <c r="C25" s="2" t="s">
        <v>97</v>
      </c>
    </row>
    <row r="26">
      <c r="A26" s="2" t="s">
        <v>66</v>
      </c>
      <c r="B26" s="5" t="s">
        <v>51</v>
      </c>
      <c r="C26" s="2" t="s">
        <v>98</v>
      </c>
    </row>
    <row r="27">
      <c r="A27" s="2" t="s">
        <v>66</v>
      </c>
      <c r="B27" s="5" t="s">
        <v>35</v>
      </c>
      <c r="C27" s="2" t="s">
        <v>99</v>
      </c>
    </row>
    <row r="28">
      <c r="A28" s="2" t="s">
        <v>66</v>
      </c>
      <c r="B28" s="5" t="s">
        <v>26</v>
      </c>
      <c r="C28" s="2" t="s">
        <v>100</v>
      </c>
    </row>
    <row r="29">
      <c r="A29" s="2" t="s">
        <v>66</v>
      </c>
      <c r="B29" s="5" t="s">
        <v>50</v>
      </c>
      <c r="C29" s="2" t="s">
        <v>101</v>
      </c>
    </row>
    <row r="30">
      <c r="A30" s="2" t="s">
        <v>66</v>
      </c>
      <c r="B30" s="2" t="s">
        <v>22</v>
      </c>
      <c r="C30" s="2" t="s">
        <v>102</v>
      </c>
    </row>
    <row r="31">
      <c r="N31" s="2"/>
    </row>
    <row r="32">
      <c r="N32" s="2"/>
    </row>
    <row r="33">
      <c r="N33" s="2"/>
    </row>
    <row r="34">
      <c r="N34" s="2"/>
    </row>
    <row r="35">
      <c r="N35" s="2"/>
    </row>
    <row r="36">
      <c r="N36" s="2"/>
    </row>
    <row r="37">
      <c r="N37" s="2"/>
    </row>
    <row r="38">
      <c r="N38" s="2"/>
    </row>
    <row r="39">
      <c r="N39" s="2"/>
    </row>
    <row r="40">
      <c r="N40" s="2"/>
    </row>
    <row r="41">
      <c r="N41" s="2"/>
    </row>
    <row r="42">
      <c r="N42" s="2"/>
    </row>
    <row r="43">
      <c r="N43" s="2"/>
    </row>
    <row r="44">
      <c r="N44" s="2"/>
    </row>
    <row r="45">
      <c r="N45" s="2"/>
    </row>
    <row r="46">
      <c r="N46" s="2"/>
    </row>
    <row r="47">
      <c r="N47" s="2"/>
    </row>
    <row r="48">
      <c r="N48" s="2"/>
    </row>
    <row r="49">
      <c r="N49" s="2"/>
    </row>
    <row r="50">
      <c r="N50" s="2"/>
    </row>
    <row r="51">
      <c r="N51" s="2"/>
    </row>
    <row r="52">
      <c r="N52" s="2"/>
    </row>
    <row r="53">
      <c r="N53" s="2"/>
    </row>
    <row r="54">
      <c r="N54" s="2"/>
    </row>
    <row r="55">
      <c r="N55" s="2"/>
    </row>
    <row r="56">
      <c r="N56" s="2"/>
    </row>
    <row r="57">
      <c r="N57" s="2"/>
    </row>
    <row r="58">
      <c r="N58" s="2"/>
    </row>
    <row r="59">
      <c r="N59" s="2"/>
    </row>
    <row r="60">
      <c r="N60" s="2"/>
    </row>
    <row r="61">
      <c r="N61" s="2"/>
    </row>
    <row r="62">
      <c r="N62" s="2"/>
    </row>
    <row r="63">
      <c r="N63" s="2"/>
    </row>
    <row r="64">
      <c r="N64" s="2"/>
    </row>
    <row r="65">
      <c r="N65" s="2"/>
    </row>
    <row r="66">
      <c r="N66" s="2"/>
    </row>
    <row r="67">
      <c r="N67" s="2"/>
    </row>
    <row r="68">
      <c r="N68" s="2"/>
    </row>
    <row r="69">
      <c r="N69" s="2"/>
    </row>
    <row r="70">
      <c r="N70" s="2"/>
    </row>
    <row r="71">
      <c r="N71" s="2"/>
    </row>
    <row r="72">
      <c r="N72" s="2"/>
    </row>
    <row r="73">
      <c r="N73" s="2"/>
    </row>
    <row r="74">
      <c r="N74" s="2"/>
    </row>
    <row r="75">
      <c r="N75" s="2"/>
    </row>
    <row r="76">
      <c r="N76" s="2"/>
    </row>
    <row r="77">
      <c r="N77" s="2"/>
    </row>
    <row r="78">
      <c r="N78" s="2"/>
    </row>
    <row r="79">
      <c r="N79" s="2"/>
    </row>
    <row r="80">
      <c r="N80" s="2"/>
    </row>
    <row r="81">
      <c r="N81" s="2"/>
    </row>
    <row r="82">
      <c r="N82" s="2"/>
    </row>
    <row r="83">
      <c r="N83" s="2"/>
    </row>
    <row r="84">
      <c r="N84" s="2"/>
    </row>
    <row r="85">
      <c r="N85" s="2"/>
    </row>
    <row r="86">
      <c r="N86" s="2"/>
    </row>
    <row r="87">
      <c r="N87" s="2"/>
    </row>
    <row r="88">
      <c r="N88" s="2"/>
    </row>
    <row r="89">
      <c r="N89" s="2"/>
    </row>
    <row r="90">
      <c r="N90" s="2"/>
    </row>
    <row r="91">
      <c r="N91" s="2"/>
    </row>
    <row r="92">
      <c r="N92" s="2"/>
    </row>
    <row r="93">
      <c r="N93" s="2"/>
    </row>
    <row r="94">
      <c r="N94" s="2"/>
    </row>
    <row r="95">
      <c r="N95" s="2"/>
    </row>
    <row r="96">
      <c r="N96" s="2"/>
    </row>
    <row r="97">
      <c r="N97" s="2"/>
    </row>
    <row r="98">
      <c r="N98" s="2"/>
    </row>
    <row r="99">
      <c r="N99" s="2"/>
    </row>
    <row r="100">
      <c r="N100" s="2"/>
    </row>
    <row r="101">
      <c r="N101" s="2"/>
    </row>
    <row r="102">
      <c r="N102" s="2"/>
    </row>
    <row r="103">
      <c r="N103" s="2"/>
    </row>
    <row r="104">
      <c r="N104" s="2"/>
    </row>
    <row r="105">
      <c r="N105" s="2"/>
    </row>
    <row r="106">
      <c r="N106" s="2"/>
    </row>
    <row r="107">
      <c r="N107" s="2"/>
    </row>
    <row r="108">
      <c r="N108" s="2"/>
    </row>
    <row r="109">
      <c r="N109" s="2"/>
    </row>
    <row r="110">
      <c r="N110" s="2"/>
    </row>
    <row r="111">
      <c r="N111" s="2"/>
    </row>
    <row r="112">
      <c r="N112" s="2"/>
    </row>
    <row r="113">
      <c r="N113" s="2"/>
    </row>
    <row r="114">
      <c r="N114" s="2"/>
    </row>
    <row r="115">
      <c r="N115" s="2"/>
    </row>
    <row r="116">
      <c r="N116" s="2"/>
    </row>
    <row r="117">
      <c r="N117" s="2"/>
    </row>
    <row r="118">
      <c r="N118" s="2"/>
    </row>
    <row r="119">
      <c r="N119" s="2"/>
    </row>
    <row r="120">
      <c r="N120" s="2"/>
    </row>
    <row r="121">
      <c r="N121" s="2"/>
    </row>
    <row r="122">
      <c r="N122" s="2"/>
    </row>
    <row r="123">
      <c r="N123" s="2"/>
    </row>
    <row r="124">
      <c r="N124" s="2"/>
    </row>
    <row r="125">
      <c r="N125" s="2"/>
    </row>
    <row r="126">
      <c r="N126" s="2"/>
    </row>
    <row r="127">
      <c r="N127" s="2"/>
    </row>
    <row r="128">
      <c r="N128" s="2"/>
    </row>
    <row r="129">
      <c r="N129" s="2"/>
    </row>
    <row r="130">
      <c r="N130" s="2"/>
    </row>
    <row r="131">
      <c r="N131" s="2"/>
    </row>
    <row r="132">
      <c r="N132" s="2"/>
    </row>
    <row r="133">
      <c r="N133" s="2"/>
    </row>
    <row r="134">
      <c r="N134" s="2"/>
    </row>
    <row r="135">
      <c r="N135" s="2"/>
    </row>
    <row r="136">
      <c r="N136" s="2"/>
    </row>
    <row r="137">
      <c r="N137" s="2"/>
    </row>
    <row r="138">
      <c r="N138" s="2"/>
    </row>
    <row r="139">
      <c r="N139" s="2"/>
    </row>
    <row r="140">
      <c r="N140" s="2"/>
    </row>
    <row r="141">
      <c r="N141" s="2"/>
    </row>
    <row r="142">
      <c r="N142" s="2"/>
    </row>
    <row r="143">
      <c r="N143" s="2"/>
    </row>
    <row r="144">
      <c r="N144" s="2"/>
    </row>
    <row r="145">
      <c r="N145" s="2"/>
    </row>
    <row r="146">
      <c r="N146" s="2"/>
    </row>
    <row r="147">
      <c r="N147" s="2"/>
    </row>
    <row r="148">
      <c r="N148" s="2"/>
    </row>
    <row r="149">
      <c r="N149" s="2"/>
    </row>
    <row r="150">
      <c r="N150" s="2"/>
    </row>
    <row r="151">
      <c r="N151" s="2"/>
    </row>
    <row r="152">
      <c r="N152" s="2"/>
    </row>
    <row r="153">
      <c r="N153" s="2"/>
    </row>
    <row r="154">
      <c r="N154" s="2"/>
    </row>
    <row r="155">
      <c r="N155" s="2"/>
    </row>
    <row r="156">
      <c r="N156" s="2"/>
    </row>
    <row r="157">
      <c r="N157" s="2"/>
    </row>
    <row r="158">
      <c r="N158" s="2"/>
    </row>
    <row r="159">
      <c r="N159" s="2"/>
    </row>
    <row r="160">
      <c r="N160" s="2"/>
    </row>
    <row r="161">
      <c r="N161" s="2"/>
    </row>
    <row r="162">
      <c r="N162" s="2"/>
    </row>
    <row r="163">
      <c r="N163" s="2"/>
    </row>
    <row r="164">
      <c r="N164" s="2"/>
    </row>
    <row r="165">
      <c r="N165" s="2"/>
    </row>
    <row r="166">
      <c r="N166" s="2"/>
    </row>
    <row r="167">
      <c r="N167" s="2"/>
    </row>
    <row r="168">
      <c r="N168" s="2"/>
    </row>
    <row r="169">
      <c r="N169" s="2"/>
    </row>
    <row r="170">
      <c r="N170" s="2"/>
    </row>
    <row r="171">
      <c r="N171" s="2"/>
    </row>
    <row r="172">
      <c r="N172" s="2"/>
    </row>
    <row r="173">
      <c r="N173" s="2"/>
    </row>
    <row r="174">
      <c r="N174" s="2"/>
    </row>
    <row r="175">
      <c r="N175" s="2"/>
    </row>
    <row r="176">
      <c r="N176" s="2"/>
    </row>
    <row r="177">
      <c r="N177" s="2"/>
    </row>
    <row r="178">
      <c r="N178" s="2"/>
    </row>
    <row r="179">
      <c r="N179" s="2"/>
    </row>
    <row r="180">
      <c r="N180" s="2"/>
    </row>
    <row r="181">
      <c r="N181" s="2"/>
    </row>
    <row r="182">
      <c r="N182" s="2"/>
    </row>
    <row r="183">
      <c r="N183" s="2"/>
    </row>
    <row r="184">
      <c r="N184" s="2"/>
    </row>
    <row r="185">
      <c r="N185" s="2"/>
    </row>
    <row r="186">
      <c r="N186" s="2"/>
    </row>
    <row r="187">
      <c r="N187" s="2"/>
    </row>
    <row r="188">
      <c r="N188" s="2"/>
    </row>
    <row r="189">
      <c r="N189" s="2"/>
    </row>
    <row r="190">
      <c r="N190" s="2"/>
    </row>
    <row r="191">
      <c r="N191" s="2"/>
    </row>
    <row r="192">
      <c r="N192" s="2"/>
    </row>
    <row r="193">
      <c r="N193" s="2"/>
    </row>
    <row r="194">
      <c r="N194" s="2"/>
    </row>
    <row r="195">
      <c r="N195" s="2"/>
    </row>
    <row r="196">
      <c r="N196" s="2"/>
    </row>
    <row r="197">
      <c r="N197" s="2"/>
    </row>
    <row r="198">
      <c r="N198" s="2"/>
    </row>
    <row r="199">
      <c r="N199" s="2"/>
    </row>
    <row r="200">
      <c r="N200" s="2"/>
    </row>
    <row r="201">
      <c r="N201" s="2"/>
    </row>
    <row r="202">
      <c r="N202" s="2"/>
    </row>
    <row r="203">
      <c r="N203" s="2"/>
    </row>
    <row r="204">
      <c r="N204" s="2"/>
    </row>
    <row r="205">
      <c r="N205" s="2"/>
    </row>
    <row r="206">
      <c r="N206" s="2"/>
    </row>
    <row r="207">
      <c r="N207" s="2"/>
    </row>
    <row r="208">
      <c r="N208" s="2"/>
    </row>
    <row r="209">
      <c r="N209" s="2"/>
    </row>
    <row r="210">
      <c r="N210" s="2"/>
    </row>
    <row r="211">
      <c r="N211" s="2"/>
    </row>
    <row r="212">
      <c r="N212" s="2"/>
    </row>
    <row r="213">
      <c r="N213" s="2"/>
    </row>
    <row r="214">
      <c r="N214" s="2"/>
    </row>
    <row r="215">
      <c r="N215" s="2"/>
    </row>
    <row r="216">
      <c r="N216" s="2"/>
    </row>
    <row r="217">
      <c r="N217" s="2"/>
    </row>
    <row r="218">
      <c r="N218" s="2"/>
    </row>
    <row r="219">
      <c r="N219" s="2"/>
    </row>
    <row r="220">
      <c r="N220" s="2"/>
    </row>
    <row r="221">
      <c r="N221" s="2"/>
    </row>
    <row r="222">
      <c r="N222" s="2"/>
    </row>
    <row r="223">
      <c r="N223" s="2"/>
    </row>
    <row r="224">
      <c r="N224" s="2"/>
    </row>
    <row r="225">
      <c r="N225" s="2"/>
    </row>
    <row r="226">
      <c r="N226" s="2"/>
    </row>
    <row r="227">
      <c r="N227" s="2"/>
    </row>
    <row r="228">
      <c r="N228" s="2"/>
    </row>
    <row r="229">
      <c r="N229" s="2"/>
    </row>
    <row r="230">
      <c r="N230" s="2"/>
    </row>
    <row r="231">
      <c r="N231" s="2"/>
    </row>
    <row r="232">
      <c r="N232" s="2"/>
    </row>
    <row r="233">
      <c r="N233" s="2"/>
    </row>
    <row r="234">
      <c r="N234" s="2"/>
    </row>
    <row r="235">
      <c r="N235" s="2"/>
    </row>
    <row r="236">
      <c r="N236" s="2"/>
    </row>
    <row r="237">
      <c r="N237" s="2"/>
    </row>
    <row r="238">
      <c r="N238" s="2"/>
    </row>
    <row r="239">
      <c r="N239" s="2"/>
    </row>
    <row r="240">
      <c r="N240" s="2"/>
    </row>
    <row r="241">
      <c r="N241" s="2"/>
    </row>
    <row r="242">
      <c r="N242" s="2"/>
    </row>
    <row r="243">
      <c r="N243" s="2"/>
    </row>
    <row r="244">
      <c r="N244" s="2"/>
    </row>
    <row r="245">
      <c r="N245" s="2"/>
    </row>
    <row r="246">
      <c r="N246" s="2"/>
    </row>
    <row r="247">
      <c r="N247" s="2"/>
    </row>
    <row r="248">
      <c r="N248" s="2"/>
    </row>
    <row r="249">
      <c r="N249" s="2"/>
    </row>
    <row r="250">
      <c r="N250" s="2"/>
    </row>
    <row r="251">
      <c r="N251" s="2"/>
    </row>
    <row r="252">
      <c r="N252" s="2"/>
    </row>
    <row r="253">
      <c r="N253" s="2"/>
    </row>
    <row r="254">
      <c r="N254" s="2"/>
    </row>
    <row r="255">
      <c r="N255" s="2"/>
    </row>
    <row r="256">
      <c r="N256" s="2"/>
    </row>
    <row r="257">
      <c r="N257" s="2"/>
    </row>
    <row r="258">
      <c r="N258" s="2"/>
    </row>
    <row r="259">
      <c r="N259" s="2"/>
    </row>
    <row r="260">
      <c r="N260" s="2"/>
    </row>
    <row r="261">
      <c r="N261" s="2"/>
    </row>
    <row r="262">
      <c r="N262" s="2"/>
    </row>
    <row r="263">
      <c r="N263" s="2"/>
    </row>
    <row r="264">
      <c r="N264" s="2"/>
    </row>
    <row r="265">
      <c r="N265" s="2"/>
    </row>
    <row r="266">
      <c r="N266" s="2"/>
    </row>
    <row r="267">
      <c r="N267" s="2"/>
    </row>
    <row r="268">
      <c r="N268" s="2"/>
    </row>
    <row r="269">
      <c r="N269" s="2"/>
    </row>
    <row r="270">
      <c r="N270" s="2"/>
    </row>
    <row r="271">
      <c r="N271" s="2"/>
    </row>
    <row r="272">
      <c r="N272" s="2"/>
    </row>
    <row r="273">
      <c r="N273" s="2"/>
    </row>
    <row r="274">
      <c r="N274" s="2"/>
    </row>
    <row r="275">
      <c r="N275" s="2"/>
    </row>
    <row r="276">
      <c r="N276" s="2"/>
    </row>
    <row r="277">
      <c r="N277" s="2"/>
    </row>
    <row r="278">
      <c r="N278" s="2"/>
    </row>
    <row r="279">
      <c r="N279" s="2"/>
    </row>
    <row r="280">
      <c r="N280" s="2"/>
    </row>
    <row r="281">
      <c r="N281" s="2"/>
    </row>
    <row r="282">
      <c r="N282" s="2"/>
    </row>
    <row r="283">
      <c r="N283" s="2"/>
    </row>
    <row r="284">
      <c r="N284" s="2"/>
    </row>
    <row r="285">
      <c r="N285" s="2"/>
    </row>
    <row r="286">
      <c r="N286" s="2"/>
    </row>
    <row r="287">
      <c r="N287" s="2"/>
    </row>
    <row r="288">
      <c r="N288" s="2"/>
    </row>
    <row r="289">
      <c r="N289" s="2"/>
    </row>
    <row r="290">
      <c r="N290" s="2"/>
    </row>
    <row r="291">
      <c r="N291" s="2"/>
    </row>
    <row r="292">
      <c r="N292" s="2"/>
    </row>
    <row r="293">
      <c r="N293" s="2"/>
    </row>
    <row r="294">
      <c r="N294" s="2"/>
    </row>
    <row r="295">
      <c r="N295" s="2"/>
    </row>
    <row r="296">
      <c r="N296" s="2"/>
    </row>
    <row r="297">
      <c r="N297" s="2"/>
    </row>
    <row r="298">
      <c r="N298" s="2"/>
    </row>
    <row r="299">
      <c r="N299" s="2"/>
    </row>
    <row r="300">
      <c r="N300" s="2"/>
    </row>
    <row r="301">
      <c r="N301" s="2"/>
    </row>
    <row r="302">
      <c r="N302" s="2"/>
    </row>
    <row r="303">
      <c r="N303" s="2"/>
    </row>
    <row r="304">
      <c r="N304" s="2"/>
    </row>
    <row r="305">
      <c r="N305" s="2"/>
    </row>
    <row r="306">
      <c r="N306" s="2"/>
    </row>
    <row r="307">
      <c r="N307" s="2"/>
    </row>
    <row r="308">
      <c r="N308" s="2"/>
    </row>
    <row r="309">
      <c r="N309" s="2"/>
    </row>
    <row r="310">
      <c r="N310" s="2"/>
    </row>
    <row r="311">
      <c r="N311" s="2"/>
    </row>
    <row r="312">
      <c r="N312" s="2"/>
    </row>
    <row r="313">
      <c r="N313" s="2"/>
    </row>
    <row r="314">
      <c r="N314" s="2"/>
    </row>
    <row r="315">
      <c r="N315" s="2"/>
    </row>
    <row r="316">
      <c r="N316" s="2"/>
    </row>
    <row r="317">
      <c r="N317" s="2"/>
    </row>
    <row r="318">
      <c r="N318" s="2"/>
    </row>
    <row r="319">
      <c r="N319" s="2"/>
    </row>
    <row r="320">
      <c r="N320" s="2"/>
    </row>
    <row r="321">
      <c r="N321" s="2"/>
    </row>
    <row r="322">
      <c r="N322" s="2"/>
    </row>
    <row r="323">
      <c r="N323" s="2"/>
    </row>
    <row r="324">
      <c r="N324" s="2"/>
    </row>
    <row r="325">
      <c r="N325" s="2"/>
    </row>
    <row r="326">
      <c r="N326" s="2"/>
    </row>
    <row r="327">
      <c r="N327" s="2"/>
    </row>
    <row r="328">
      <c r="N328" s="2"/>
    </row>
    <row r="329">
      <c r="N329" s="2"/>
    </row>
    <row r="330">
      <c r="N330" s="2"/>
    </row>
    <row r="331">
      <c r="N331" s="2"/>
    </row>
    <row r="332">
      <c r="N332" s="2"/>
    </row>
    <row r="333">
      <c r="N333" s="2"/>
    </row>
    <row r="334">
      <c r="N334" s="2"/>
    </row>
    <row r="335">
      <c r="N335" s="2"/>
    </row>
    <row r="336">
      <c r="N336" s="2"/>
    </row>
    <row r="337">
      <c r="N337" s="2"/>
    </row>
    <row r="338">
      <c r="N338" s="2"/>
    </row>
    <row r="339">
      <c r="N339" s="2"/>
    </row>
    <row r="340">
      <c r="N340" s="2"/>
    </row>
    <row r="341">
      <c r="N341" s="2"/>
    </row>
    <row r="342">
      <c r="N342" s="2"/>
    </row>
    <row r="343">
      <c r="N343" s="2"/>
    </row>
    <row r="344">
      <c r="N344" s="2"/>
    </row>
    <row r="345">
      <c r="N345" s="2"/>
    </row>
    <row r="346">
      <c r="N346" s="2"/>
    </row>
    <row r="347">
      <c r="N347" s="2"/>
    </row>
    <row r="348">
      <c r="N348" s="2"/>
    </row>
    <row r="349">
      <c r="N349" s="2"/>
    </row>
    <row r="350">
      <c r="N350" s="2"/>
    </row>
    <row r="351">
      <c r="N351" s="2"/>
    </row>
    <row r="352">
      <c r="N352" s="2"/>
    </row>
    <row r="353">
      <c r="N353" s="2"/>
    </row>
    <row r="354">
      <c r="N354" s="2"/>
    </row>
    <row r="355">
      <c r="N355" s="2"/>
    </row>
    <row r="356">
      <c r="N356" s="2"/>
    </row>
    <row r="357">
      <c r="N357" s="2"/>
    </row>
    <row r="358">
      <c r="N358" s="2"/>
    </row>
    <row r="359">
      <c r="N359" s="2"/>
    </row>
    <row r="360">
      <c r="N360" s="2"/>
    </row>
    <row r="361">
      <c r="N361" s="2"/>
    </row>
    <row r="362">
      <c r="N362" s="2"/>
    </row>
    <row r="363">
      <c r="N363" s="2"/>
    </row>
    <row r="364">
      <c r="N364" s="2"/>
    </row>
    <row r="365">
      <c r="N365" s="2"/>
    </row>
    <row r="366">
      <c r="N366" s="2"/>
    </row>
    <row r="367">
      <c r="N367" s="2"/>
    </row>
    <row r="368">
      <c r="N368" s="2"/>
    </row>
    <row r="369">
      <c r="N369" s="2"/>
    </row>
    <row r="370">
      <c r="N370" s="2"/>
    </row>
    <row r="371">
      <c r="N371" s="2"/>
    </row>
    <row r="372">
      <c r="N372" s="2"/>
    </row>
    <row r="373">
      <c r="N373" s="2"/>
    </row>
    <row r="374">
      <c r="N374" s="2"/>
    </row>
    <row r="375">
      <c r="N375" s="2"/>
    </row>
    <row r="376">
      <c r="N376" s="2"/>
    </row>
    <row r="377">
      <c r="N377" s="2"/>
    </row>
    <row r="378">
      <c r="N378" s="2"/>
    </row>
    <row r="379">
      <c r="N379" s="2"/>
    </row>
    <row r="380">
      <c r="N380" s="2"/>
    </row>
    <row r="381">
      <c r="N381" s="2"/>
    </row>
    <row r="382">
      <c r="N382" s="2"/>
    </row>
    <row r="383">
      <c r="N383" s="2"/>
    </row>
    <row r="384">
      <c r="N384" s="2"/>
    </row>
    <row r="385">
      <c r="N385" s="2"/>
    </row>
    <row r="386">
      <c r="N386" s="2"/>
    </row>
    <row r="387">
      <c r="N387" s="2"/>
    </row>
    <row r="388">
      <c r="N388" s="2"/>
    </row>
    <row r="389">
      <c r="N389" s="2"/>
    </row>
    <row r="390">
      <c r="N390" s="2"/>
    </row>
    <row r="391">
      <c r="N391" s="2"/>
    </row>
    <row r="392">
      <c r="N392" s="2"/>
    </row>
    <row r="393">
      <c r="N393" s="2"/>
    </row>
    <row r="394">
      <c r="N394" s="2"/>
    </row>
    <row r="395">
      <c r="N395" s="2"/>
    </row>
    <row r="396">
      <c r="N396" s="2"/>
    </row>
    <row r="397">
      <c r="N397" s="2"/>
    </row>
    <row r="398">
      <c r="N398" s="2"/>
    </row>
    <row r="399">
      <c r="N399" s="2"/>
    </row>
    <row r="400">
      <c r="N400" s="2"/>
    </row>
    <row r="401">
      <c r="N401" s="2"/>
    </row>
    <row r="402">
      <c r="N402" s="2"/>
    </row>
    <row r="403">
      <c r="N403" s="2"/>
    </row>
    <row r="404">
      <c r="N404" s="2"/>
    </row>
    <row r="405">
      <c r="N405" s="2"/>
    </row>
    <row r="406">
      <c r="N406" s="2"/>
    </row>
    <row r="407">
      <c r="N407" s="2"/>
    </row>
    <row r="408">
      <c r="N408" s="2"/>
    </row>
    <row r="409">
      <c r="N409" s="2"/>
    </row>
    <row r="410">
      <c r="N410" s="2"/>
    </row>
    <row r="411">
      <c r="N411" s="2"/>
    </row>
    <row r="412">
      <c r="N412" s="2"/>
    </row>
    <row r="413">
      <c r="N413" s="2"/>
    </row>
    <row r="414">
      <c r="N414" s="2"/>
    </row>
    <row r="415">
      <c r="N415" s="2"/>
    </row>
    <row r="416">
      <c r="N416" s="2"/>
    </row>
    <row r="417">
      <c r="N417" s="2"/>
    </row>
    <row r="418">
      <c r="N418" s="2"/>
    </row>
    <row r="419">
      <c r="N419" s="2"/>
    </row>
    <row r="420">
      <c r="N420" s="2"/>
    </row>
    <row r="421">
      <c r="N421" s="2"/>
    </row>
    <row r="422">
      <c r="N422" s="2"/>
    </row>
    <row r="423">
      <c r="N423" s="2"/>
    </row>
    <row r="424">
      <c r="N424" s="2"/>
    </row>
    <row r="425">
      <c r="N425" s="2"/>
    </row>
    <row r="426">
      <c r="N426" s="2"/>
    </row>
    <row r="427">
      <c r="N427" s="2"/>
    </row>
    <row r="428">
      <c r="N428" s="2"/>
    </row>
    <row r="429">
      <c r="N429" s="2"/>
    </row>
    <row r="430">
      <c r="N430" s="2"/>
    </row>
    <row r="431">
      <c r="N431" s="2"/>
    </row>
    <row r="432">
      <c r="N432" s="2"/>
    </row>
    <row r="433">
      <c r="N433" s="2"/>
    </row>
    <row r="434">
      <c r="N434" s="2"/>
    </row>
    <row r="435">
      <c r="N435" s="2"/>
    </row>
    <row r="436">
      <c r="N436" s="2"/>
    </row>
    <row r="437">
      <c r="N437" s="2"/>
    </row>
    <row r="438">
      <c r="N438" s="2"/>
    </row>
    <row r="439">
      <c r="N439" s="2"/>
    </row>
    <row r="440">
      <c r="N440" s="2"/>
    </row>
    <row r="441">
      <c r="N441" s="2"/>
    </row>
    <row r="442">
      <c r="N442" s="2"/>
    </row>
    <row r="443">
      <c r="N443" s="2"/>
    </row>
    <row r="444">
      <c r="N444" s="2"/>
    </row>
    <row r="445">
      <c r="N445" s="2"/>
    </row>
    <row r="446">
      <c r="N446" s="2"/>
    </row>
    <row r="447">
      <c r="N447" s="2"/>
    </row>
    <row r="448">
      <c r="N448" s="2"/>
    </row>
    <row r="449">
      <c r="N449" s="2"/>
    </row>
    <row r="450">
      <c r="N450" s="2"/>
    </row>
    <row r="451">
      <c r="N451" s="2"/>
    </row>
    <row r="452">
      <c r="N452" s="2"/>
    </row>
    <row r="453">
      <c r="N453" s="2"/>
    </row>
    <row r="454">
      <c r="N454" s="2"/>
    </row>
    <row r="455">
      <c r="N455" s="2"/>
    </row>
    <row r="456">
      <c r="N456" s="2"/>
    </row>
    <row r="457">
      <c r="N457" s="2"/>
    </row>
    <row r="458">
      <c r="N458" s="2"/>
    </row>
    <row r="459">
      <c r="N459" s="2"/>
    </row>
    <row r="460">
      <c r="N460" s="2"/>
    </row>
    <row r="461">
      <c r="N461" s="2"/>
    </row>
    <row r="462">
      <c r="N462" s="2"/>
    </row>
    <row r="463">
      <c r="N463" s="2"/>
    </row>
    <row r="464">
      <c r="N464" s="2"/>
    </row>
    <row r="465">
      <c r="N465" s="2"/>
    </row>
    <row r="466">
      <c r="N466" s="2"/>
    </row>
    <row r="467">
      <c r="N467" s="2"/>
    </row>
    <row r="468">
      <c r="N468" s="2"/>
    </row>
    <row r="469">
      <c r="N469" s="2"/>
    </row>
    <row r="470">
      <c r="N470" s="2"/>
    </row>
    <row r="471">
      <c r="N471" s="2"/>
    </row>
    <row r="472">
      <c r="N472" s="2"/>
    </row>
    <row r="473">
      <c r="N473" s="2"/>
    </row>
    <row r="474">
      <c r="N474" s="2"/>
    </row>
    <row r="475">
      <c r="N475" s="2"/>
    </row>
    <row r="476">
      <c r="N476" s="2"/>
    </row>
    <row r="477">
      <c r="N477" s="2"/>
    </row>
    <row r="478">
      <c r="N478" s="2"/>
    </row>
    <row r="479">
      <c r="N479" s="2"/>
    </row>
    <row r="480">
      <c r="N480" s="2"/>
    </row>
    <row r="481">
      <c r="N481" s="2"/>
    </row>
    <row r="482">
      <c r="N482" s="2"/>
    </row>
    <row r="483">
      <c r="N483" s="2"/>
    </row>
    <row r="484">
      <c r="N484" s="2"/>
    </row>
    <row r="485">
      <c r="N485" s="2"/>
    </row>
    <row r="486">
      <c r="N486" s="2"/>
    </row>
    <row r="487">
      <c r="N487" s="2"/>
    </row>
    <row r="488">
      <c r="N488" s="2"/>
    </row>
    <row r="489">
      <c r="N489" s="2"/>
    </row>
    <row r="490">
      <c r="N490" s="2"/>
    </row>
    <row r="491">
      <c r="N491" s="2"/>
    </row>
    <row r="492">
      <c r="N492" s="2"/>
    </row>
    <row r="493">
      <c r="N493" s="2"/>
    </row>
    <row r="494">
      <c r="N494" s="2"/>
    </row>
    <row r="495">
      <c r="N495" s="2"/>
    </row>
    <row r="496">
      <c r="N496" s="2"/>
    </row>
    <row r="497">
      <c r="N497" s="2"/>
    </row>
    <row r="498">
      <c r="N498" s="2"/>
    </row>
    <row r="499">
      <c r="N499" s="2"/>
    </row>
    <row r="500">
      <c r="N500" s="2"/>
    </row>
    <row r="501">
      <c r="N501" s="2"/>
    </row>
    <row r="502">
      <c r="N502" s="2"/>
    </row>
    <row r="503">
      <c r="N503" s="2"/>
    </row>
    <row r="504">
      <c r="N504" s="2"/>
    </row>
    <row r="505">
      <c r="N505" s="2"/>
    </row>
    <row r="506">
      <c r="N506" s="2"/>
    </row>
    <row r="507">
      <c r="N507" s="2"/>
    </row>
    <row r="508">
      <c r="N508" s="2"/>
    </row>
    <row r="509">
      <c r="N509" s="2"/>
    </row>
    <row r="510">
      <c r="N510" s="2"/>
    </row>
    <row r="511">
      <c r="N511" s="2"/>
    </row>
    <row r="512">
      <c r="N512" s="2"/>
    </row>
    <row r="513">
      <c r="N513" s="2"/>
    </row>
    <row r="514">
      <c r="N514" s="2"/>
    </row>
    <row r="515">
      <c r="N515" s="2"/>
    </row>
    <row r="516">
      <c r="N516" s="2"/>
    </row>
    <row r="517">
      <c r="N517" s="2"/>
    </row>
    <row r="518">
      <c r="N518" s="2"/>
    </row>
    <row r="519">
      <c r="N519" s="2"/>
    </row>
    <row r="520">
      <c r="N520" s="2"/>
    </row>
    <row r="521">
      <c r="N521" s="2"/>
    </row>
    <row r="522">
      <c r="N522" s="2"/>
    </row>
    <row r="523">
      <c r="N523" s="2"/>
    </row>
    <row r="524">
      <c r="N524" s="2"/>
    </row>
    <row r="525">
      <c r="N525" s="2"/>
    </row>
    <row r="526">
      <c r="N526" s="2"/>
    </row>
    <row r="527">
      <c r="N527" s="2"/>
    </row>
    <row r="528">
      <c r="N528" s="2"/>
    </row>
    <row r="529">
      <c r="N529" s="2"/>
    </row>
    <row r="530">
      <c r="N530" s="2"/>
    </row>
    <row r="531">
      <c r="N531" s="2"/>
    </row>
    <row r="532">
      <c r="N532" s="2"/>
    </row>
    <row r="533">
      <c r="N533" s="2"/>
    </row>
    <row r="534">
      <c r="N534" s="2"/>
    </row>
    <row r="535">
      <c r="N535" s="2"/>
    </row>
    <row r="536">
      <c r="N536" s="2"/>
    </row>
    <row r="537">
      <c r="N537" s="2"/>
    </row>
    <row r="538">
      <c r="N538" s="2"/>
    </row>
    <row r="539">
      <c r="N539" s="2"/>
    </row>
    <row r="540">
      <c r="N540" s="2"/>
    </row>
    <row r="541">
      <c r="N541" s="2"/>
    </row>
    <row r="542">
      <c r="N542" s="2"/>
    </row>
    <row r="543">
      <c r="N543" s="2"/>
    </row>
    <row r="544">
      <c r="N544" s="2"/>
    </row>
    <row r="545">
      <c r="N545" s="2"/>
    </row>
    <row r="546">
      <c r="N546" s="2"/>
    </row>
    <row r="547">
      <c r="N547" s="2"/>
    </row>
    <row r="548">
      <c r="N548" s="2"/>
    </row>
    <row r="549">
      <c r="N549" s="2"/>
    </row>
    <row r="550">
      <c r="N550" s="2"/>
    </row>
    <row r="551">
      <c r="N551" s="2"/>
    </row>
    <row r="552">
      <c r="N552" s="2"/>
    </row>
    <row r="553">
      <c r="N553" s="2"/>
    </row>
    <row r="554">
      <c r="N554" s="2"/>
    </row>
    <row r="555">
      <c r="N555" s="2"/>
    </row>
    <row r="556">
      <c r="N556" s="2"/>
    </row>
    <row r="557">
      <c r="N557" s="2"/>
    </row>
    <row r="558">
      <c r="N558" s="2"/>
    </row>
    <row r="559">
      <c r="N559" s="2"/>
    </row>
    <row r="560">
      <c r="N560" s="2"/>
    </row>
    <row r="561">
      <c r="N561" s="2"/>
    </row>
    <row r="562">
      <c r="N562" s="2"/>
    </row>
    <row r="563">
      <c r="N563" s="2"/>
    </row>
    <row r="564">
      <c r="N564" s="2"/>
    </row>
    <row r="565">
      <c r="N565" s="2"/>
    </row>
    <row r="566">
      <c r="N566" s="2"/>
    </row>
    <row r="567">
      <c r="N567" s="2"/>
    </row>
    <row r="568">
      <c r="N568" s="2"/>
    </row>
    <row r="569">
      <c r="N569" s="2"/>
    </row>
    <row r="570">
      <c r="N570" s="2"/>
    </row>
    <row r="571">
      <c r="N571" s="2"/>
    </row>
    <row r="572">
      <c r="N572" s="2"/>
    </row>
    <row r="573">
      <c r="N573" s="2"/>
    </row>
    <row r="574">
      <c r="N574" s="2"/>
    </row>
    <row r="575">
      <c r="N575" s="2"/>
    </row>
    <row r="576">
      <c r="N576" s="2"/>
    </row>
    <row r="577">
      <c r="N577" s="2"/>
    </row>
    <row r="578">
      <c r="N578" s="2"/>
    </row>
    <row r="579">
      <c r="N579" s="2"/>
    </row>
    <row r="580">
      <c r="N580" s="2"/>
    </row>
    <row r="581">
      <c r="N581" s="2"/>
    </row>
    <row r="582">
      <c r="N582" s="2"/>
    </row>
    <row r="583">
      <c r="N583" s="2"/>
    </row>
    <row r="584">
      <c r="N584" s="2"/>
    </row>
    <row r="585">
      <c r="N585" s="2"/>
    </row>
    <row r="586">
      <c r="N586" s="2"/>
    </row>
    <row r="587">
      <c r="N587" s="2"/>
    </row>
    <row r="588">
      <c r="N588" s="2"/>
    </row>
    <row r="589">
      <c r="N589" s="2"/>
    </row>
    <row r="590">
      <c r="N590" s="2"/>
    </row>
    <row r="591">
      <c r="N591" s="2"/>
    </row>
    <row r="592">
      <c r="N592" s="2"/>
    </row>
    <row r="593">
      <c r="N593" s="2"/>
    </row>
    <row r="594">
      <c r="N594" s="2"/>
    </row>
    <row r="595">
      <c r="N595" s="2"/>
    </row>
    <row r="596">
      <c r="N596" s="2"/>
    </row>
    <row r="597">
      <c r="N597" s="2"/>
    </row>
    <row r="598">
      <c r="N598" s="2"/>
    </row>
    <row r="599">
      <c r="N599" s="2"/>
    </row>
    <row r="600">
      <c r="N600" s="2"/>
    </row>
    <row r="601">
      <c r="N601" s="2"/>
    </row>
    <row r="602">
      <c r="N602" s="2"/>
    </row>
    <row r="603">
      <c r="N603" s="2"/>
    </row>
    <row r="604">
      <c r="N604" s="2"/>
    </row>
    <row r="605">
      <c r="N605" s="2"/>
    </row>
    <row r="606">
      <c r="N606" s="2"/>
    </row>
    <row r="607">
      <c r="N607" s="2"/>
    </row>
    <row r="608">
      <c r="N608" s="2"/>
    </row>
    <row r="609">
      <c r="N609" s="2"/>
    </row>
    <row r="610">
      <c r="N610" s="2"/>
    </row>
    <row r="611">
      <c r="N611" s="2"/>
    </row>
    <row r="612">
      <c r="N612" s="2"/>
    </row>
    <row r="613">
      <c r="N613" s="2"/>
    </row>
    <row r="614">
      <c r="N614" s="2"/>
    </row>
    <row r="615">
      <c r="N615" s="2"/>
    </row>
    <row r="616">
      <c r="N616" s="2"/>
    </row>
    <row r="617">
      <c r="N617" s="2"/>
    </row>
    <row r="618">
      <c r="N618" s="2"/>
    </row>
    <row r="619">
      <c r="N619" s="2"/>
    </row>
    <row r="620">
      <c r="N620" s="2"/>
    </row>
    <row r="621">
      <c r="N621" s="2"/>
    </row>
    <row r="622">
      <c r="N622" s="2"/>
    </row>
    <row r="623">
      <c r="N623" s="2"/>
    </row>
    <row r="624">
      <c r="N624" s="2"/>
    </row>
    <row r="625">
      <c r="N625" s="2"/>
    </row>
    <row r="626">
      <c r="N626" s="2"/>
    </row>
    <row r="627">
      <c r="N627" s="2"/>
    </row>
    <row r="628">
      <c r="N628" s="2"/>
    </row>
    <row r="629">
      <c r="N629" s="2"/>
    </row>
    <row r="630">
      <c r="N630" s="2"/>
    </row>
    <row r="631">
      <c r="N631" s="2"/>
    </row>
    <row r="632">
      <c r="N632" s="2"/>
    </row>
    <row r="633">
      <c r="N633" s="2"/>
    </row>
    <row r="634">
      <c r="N634" s="2"/>
    </row>
    <row r="635">
      <c r="N635" s="2"/>
    </row>
    <row r="636">
      <c r="N636" s="2"/>
    </row>
    <row r="637">
      <c r="N637" s="2"/>
    </row>
    <row r="638">
      <c r="N638" s="2"/>
    </row>
    <row r="639">
      <c r="N639" s="2"/>
    </row>
    <row r="640">
      <c r="N640" s="2"/>
    </row>
    <row r="641">
      <c r="N641" s="2"/>
    </row>
    <row r="642">
      <c r="N642" s="2"/>
    </row>
    <row r="643">
      <c r="N643" s="2"/>
    </row>
    <row r="644">
      <c r="N644" s="2"/>
    </row>
    <row r="645">
      <c r="N645" s="2"/>
    </row>
    <row r="646">
      <c r="N646" s="2"/>
    </row>
    <row r="647">
      <c r="N647" s="2"/>
    </row>
    <row r="648">
      <c r="N648" s="2"/>
    </row>
    <row r="649">
      <c r="N649" s="2"/>
    </row>
    <row r="650">
      <c r="N650" s="2"/>
    </row>
    <row r="651">
      <c r="N651" s="2"/>
    </row>
    <row r="652">
      <c r="N652" s="2"/>
    </row>
    <row r="653">
      <c r="N653" s="2"/>
    </row>
    <row r="654">
      <c r="N654" s="2"/>
    </row>
    <row r="655">
      <c r="N655" s="2"/>
    </row>
    <row r="656">
      <c r="N656" s="2"/>
    </row>
    <row r="657">
      <c r="N657" s="2"/>
    </row>
    <row r="658">
      <c r="N658" s="2"/>
    </row>
    <row r="659">
      <c r="N659" s="2"/>
    </row>
    <row r="660">
      <c r="N660" s="2"/>
    </row>
    <row r="661">
      <c r="N661" s="2"/>
    </row>
    <row r="662">
      <c r="N662" s="2"/>
    </row>
    <row r="663">
      <c r="N663" s="2"/>
    </row>
    <row r="664">
      <c r="N664" s="2"/>
    </row>
    <row r="665">
      <c r="N665" s="2"/>
    </row>
    <row r="666">
      <c r="N666" s="2"/>
    </row>
    <row r="667">
      <c r="N667" s="2"/>
    </row>
    <row r="668">
      <c r="N668" s="2"/>
    </row>
    <row r="669">
      <c r="N669" s="2"/>
    </row>
    <row r="670">
      <c r="N670" s="2"/>
    </row>
    <row r="671">
      <c r="N671" s="2"/>
    </row>
    <row r="672">
      <c r="N672" s="2"/>
    </row>
    <row r="673">
      <c r="N673" s="2"/>
    </row>
    <row r="674">
      <c r="N674" s="2"/>
    </row>
    <row r="675">
      <c r="N675" s="2"/>
    </row>
    <row r="676">
      <c r="N676" s="2"/>
    </row>
    <row r="677">
      <c r="N677" s="2"/>
    </row>
    <row r="678">
      <c r="N678" s="2"/>
    </row>
    <row r="679">
      <c r="N679" s="2"/>
    </row>
    <row r="680">
      <c r="N680" s="2"/>
    </row>
    <row r="681">
      <c r="N681" s="2"/>
    </row>
    <row r="682">
      <c r="N682" s="2"/>
    </row>
    <row r="683">
      <c r="N683" s="2"/>
    </row>
    <row r="684">
      <c r="N684" s="2"/>
    </row>
    <row r="685">
      <c r="N685" s="2"/>
    </row>
    <row r="686">
      <c r="N686" s="2"/>
    </row>
    <row r="687">
      <c r="N687" s="2"/>
    </row>
    <row r="688">
      <c r="N688" s="2"/>
    </row>
    <row r="689">
      <c r="N689" s="2"/>
    </row>
    <row r="690">
      <c r="N690" s="2"/>
    </row>
    <row r="691">
      <c r="N691" s="2"/>
    </row>
    <row r="692">
      <c r="N692" s="2"/>
    </row>
    <row r="693">
      <c r="N693" s="2"/>
    </row>
    <row r="694">
      <c r="N694" s="2"/>
    </row>
    <row r="695">
      <c r="N695" s="2"/>
    </row>
    <row r="696">
      <c r="N696" s="2"/>
    </row>
    <row r="697">
      <c r="N697" s="2"/>
    </row>
    <row r="698">
      <c r="N698" s="2"/>
    </row>
    <row r="699">
      <c r="N699" s="2"/>
    </row>
    <row r="700">
      <c r="N700" s="2"/>
    </row>
    <row r="701">
      <c r="N701" s="2"/>
    </row>
    <row r="702">
      <c r="N702" s="2"/>
    </row>
    <row r="703">
      <c r="N703" s="2"/>
    </row>
    <row r="704">
      <c r="N704" s="2"/>
    </row>
    <row r="705">
      <c r="N705" s="2"/>
    </row>
    <row r="706">
      <c r="N706" s="2"/>
    </row>
    <row r="707">
      <c r="N707" s="2"/>
    </row>
    <row r="708">
      <c r="N708" s="2"/>
    </row>
    <row r="709">
      <c r="N709" s="2"/>
    </row>
    <row r="710">
      <c r="N710" s="2"/>
    </row>
    <row r="711">
      <c r="N711" s="2"/>
    </row>
    <row r="712">
      <c r="N712" s="2"/>
    </row>
    <row r="713">
      <c r="N713" s="2"/>
    </row>
    <row r="714">
      <c r="N714" s="2"/>
    </row>
    <row r="715">
      <c r="N715" s="2"/>
    </row>
    <row r="716">
      <c r="N716" s="2"/>
    </row>
    <row r="717">
      <c r="N717" s="2"/>
    </row>
    <row r="718">
      <c r="N718" s="2"/>
    </row>
    <row r="719">
      <c r="N719" s="2"/>
    </row>
    <row r="720">
      <c r="N720" s="2"/>
    </row>
    <row r="721">
      <c r="N721" s="2"/>
    </row>
    <row r="722">
      <c r="N722" s="2"/>
    </row>
    <row r="723">
      <c r="N723" s="2"/>
    </row>
    <row r="724">
      <c r="N724" s="2"/>
    </row>
    <row r="725">
      <c r="N725" s="2"/>
    </row>
    <row r="726">
      <c r="N726" s="2"/>
    </row>
    <row r="727">
      <c r="N727" s="2"/>
    </row>
    <row r="728">
      <c r="N728" s="2"/>
    </row>
    <row r="729">
      <c r="N729" s="2"/>
    </row>
    <row r="730">
      <c r="N730" s="2"/>
    </row>
    <row r="731">
      <c r="N731" s="2"/>
    </row>
    <row r="732">
      <c r="N732" s="2"/>
    </row>
    <row r="733">
      <c r="N733" s="2"/>
    </row>
    <row r="734">
      <c r="N734" s="2"/>
    </row>
    <row r="735">
      <c r="N735" s="2"/>
    </row>
    <row r="736">
      <c r="N736" s="2"/>
    </row>
    <row r="737">
      <c r="N737" s="2"/>
    </row>
    <row r="738">
      <c r="N738" s="2"/>
    </row>
    <row r="739">
      <c r="N739" s="2"/>
    </row>
    <row r="740">
      <c r="N740" s="2"/>
    </row>
    <row r="741">
      <c r="N741" s="2"/>
    </row>
    <row r="742">
      <c r="N742" s="2"/>
    </row>
    <row r="743">
      <c r="N743" s="2"/>
    </row>
    <row r="744">
      <c r="N744" s="2"/>
    </row>
    <row r="745">
      <c r="N745" s="2"/>
    </row>
    <row r="746">
      <c r="N746" s="2"/>
    </row>
    <row r="747">
      <c r="N747" s="2"/>
    </row>
    <row r="748">
      <c r="N748" s="2"/>
    </row>
    <row r="749">
      <c r="N749" s="2"/>
    </row>
    <row r="750">
      <c r="N750" s="2"/>
    </row>
    <row r="751">
      <c r="N751" s="2"/>
    </row>
    <row r="752">
      <c r="N752" s="2"/>
    </row>
    <row r="753">
      <c r="N753" s="2"/>
    </row>
    <row r="754">
      <c r="N754" s="2"/>
    </row>
    <row r="755">
      <c r="N755" s="2"/>
    </row>
    <row r="756">
      <c r="N756" s="2"/>
    </row>
    <row r="757">
      <c r="N757" s="2"/>
    </row>
    <row r="758">
      <c r="N758" s="2"/>
    </row>
    <row r="759">
      <c r="N759" s="2"/>
    </row>
    <row r="760">
      <c r="N760" s="2"/>
    </row>
    <row r="761">
      <c r="N761" s="2"/>
    </row>
    <row r="762">
      <c r="N762" s="2"/>
    </row>
    <row r="763">
      <c r="N763" s="2"/>
    </row>
    <row r="764">
      <c r="N764" s="2"/>
    </row>
    <row r="765">
      <c r="N765" s="2"/>
    </row>
    <row r="766">
      <c r="N766" s="2"/>
    </row>
    <row r="767">
      <c r="N767" s="2"/>
    </row>
    <row r="768">
      <c r="N768" s="2"/>
    </row>
    <row r="769">
      <c r="N769" s="2"/>
    </row>
    <row r="770">
      <c r="N770" s="2"/>
    </row>
    <row r="771">
      <c r="N771" s="2"/>
    </row>
    <row r="772">
      <c r="N772" s="2"/>
    </row>
    <row r="773">
      <c r="N773" s="2"/>
    </row>
    <row r="774">
      <c r="N774" s="2"/>
    </row>
    <row r="775">
      <c r="N775" s="2"/>
    </row>
    <row r="776">
      <c r="N776" s="2"/>
    </row>
    <row r="777">
      <c r="N777" s="2"/>
    </row>
    <row r="778">
      <c r="N778" s="2"/>
    </row>
    <row r="779">
      <c r="N779" s="2"/>
    </row>
    <row r="780">
      <c r="N780" s="2"/>
    </row>
    <row r="781">
      <c r="N781" s="2"/>
    </row>
    <row r="782">
      <c r="N782" s="2"/>
    </row>
    <row r="783">
      <c r="N783" s="2"/>
    </row>
    <row r="784">
      <c r="N784" s="2"/>
    </row>
    <row r="785">
      <c r="N785" s="2"/>
    </row>
    <row r="786">
      <c r="N786" s="2"/>
    </row>
    <row r="787">
      <c r="N787" s="2"/>
    </row>
    <row r="788">
      <c r="N788" s="2"/>
    </row>
    <row r="789">
      <c r="N789" s="2"/>
    </row>
    <row r="790">
      <c r="N790" s="2"/>
    </row>
    <row r="791">
      <c r="N791" s="2"/>
    </row>
    <row r="792">
      <c r="N792" s="2"/>
    </row>
    <row r="793">
      <c r="N793" s="2"/>
    </row>
    <row r="794">
      <c r="N794" s="2"/>
    </row>
    <row r="795">
      <c r="N795" s="2"/>
    </row>
    <row r="796">
      <c r="N796" s="2"/>
    </row>
    <row r="797">
      <c r="N797" s="2"/>
    </row>
    <row r="798">
      <c r="N798" s="2"/>
    </row>
    <row r="799">
      <c r="N799" s="2"/>
    </row>
    <row r="800">
      <c r="N800" s="2"/>
    </row>
    <row r="801">
      <c r="N801" s="2"/>
    </row>
    <row r="802">
      <c r="N802" s="2"/>
    </row>
    <row r="803">
      <c r="N803" s="2"/>
    </row>
    <row r="804">
      <c r="N804" s="2"/>
    </row>
    <row r="805">
      <c r="N805" s="2"/>
    </row>
    <row r="806">
      <c r="N806" s="2"/>
    </row>
    <row r="807">
      <c r="N807" s="2"/>
    </row>
    <row r="808">
      <c r="N808" s="2"/>
    </row>
    <row r="809">
      <c r="N809" s="2"/>
    </row>
    <row r="810">
      <c r="N810" s="2"/>
    </row>
    <row r="811">
      <c r="N811" s="2"/>
    </row>
    <row r="812">
      <c r="N812" s="2"/>
    </row>
    <row r="813">
      <c r="N813" s="2"/>
    </row>
    <row r="814">
      <c r="N814" s="2"/>
    </row>
    <row r="815">
      <c r="N815" s="2"/>
    </row>
    <row r="816">
      <c r="N816" s="2"/>
    </row>
    <row r="817">
      <c r="N817" s="2"/>
    </row>
    <row r="818">
      <c r="N818" s="2"/>
    </row>
    <row r="819">
      <c r="N819" s="2"/>
    </row>
    <row r="820">
      <c r="N820" s="2"/>
    </row>
    <row r="821">
      <c r="N821" s="2"/>
    </row>
    <row r="822">
      <c r="N822" s="2"/>
    </row>
    <row r="823">
      <c r="N823" s="2"/>
    </row>
    <row r="824">
      <c r="N824" s="2"/>
    </row>
    <row r="825">
      <c r="N825" s="2"/>
    </row>
    <row r="826">
      <c r="N826" s="2"/>
    </row>
    <row r="827">
      <c r="N827" s="2"/>
    </row>
    <row r="828">
      <c r="N828" s="2"/>
    </row>
    <row r="829">
      <c r="N829" s="2"/>
    </row>
    <row r="830">
      <c r="N830" s="2"/>
    </row>
    <row r="831">
      <c r="N831" s="2"/>
    </row>
    <row r="832">
      <c r="N832" s="2"/>
    </row>
    <row r="833">
      <c r="N833" s="2"/>
    </row>
    <row r="834">
      <c r="N834" s="2"/>
    </row>
    <row r="835">
      <c r="N835" s="2"/>
    </row>
    <row r="836">
      <c r="N836" s="2"/>
    </row>
    <row r="837">
      <c r="N837" s="2"/>
    </row>
    <row r="838">
      <c r="N838" s="2"/>
    </row>
    <row r="839">
      <c r="N839" s="2"/>
    </row>
    <row r="840">
      <c r="N840" s="2"/>
    </row>
    <row r="841">
      <c r="N841" s="2"/>
    </row>
    <row r="842">
      <c r="N842" s="2"/>
    </row>
    <row r="843">
      <c r="N843" s="2"/>
    </row>
    <row r="844">
      <c r="N844" s="2"/>
    </row>
    <row r="845">
      <c r="N845" s="2"/>
    </row>
    <row r="846">
      <c r="N846" s="2"/>
    </row>
    <row r="847">
      <c r="N847" s="2"/>
    </row>
    <row r="848">
      <c r="N848" s="2"/>
    </row>
    <row r="849">
      <c r="N849" s="2"/>
    </row>
    <row r="850">
      <c r="N850" s="2"/>
    </row>
    <row r="851">
      <c r="N851" s="2"/>
    </row>
    <row r="852">
      <c r="N852" s="2"/>
    </row>
    <row r="853">
      <c r="N853" s="2"/>
    </row>
    <row r="854">
      <c r="N854" s="2"/>
    </row>
    <row r="855">
      <c r="N855" s="2"/>
    </row>
    <row r="856">
      <c r="N856" s="2"/>
    </row>
    <row r="857">
      <c r="N857" s="2"/>
    </row>
    <row r="858">
      <c r="N858" s="2"/>
    </row>
    <row r="859">
      <c r="N859" s="2"/>
    </row>
    <row r="860">
      <c r="N860" s="2"/>
    </row>
    <row r="861">
      <c r="N861" s="2"/>
    </row>
    <row r="862">
      <c r="N862" s="2"/>
    </row>
    <row r="863">
      <c r="N863" s="2"/>
    </row>
    <row r="864">
      <c r="N864" s="2"/>
    </row>
    <row r="865">
      <c r="N865" s="2"/>
    </row>
    <row r="866">
      <c r="N866" s="2"/>
    </row>
    <row r="867">
      <c r="N867" s="2"/>
    </row>
    <row r="868">
      <c r="N868" s="2"/>
    </row>
    <row r="869">
      <c r="N869" s="2"/>
    </row>
    <row r="870">
      <c r="N870" s="2"/>
    </row>
    <row r="871">
      <c r="N871" s="2"/>
    </row>
    <row r="872">
      <c r="N872" s="2"/>
    </row>
    <row r="873">
      <c r="N873" s="2"/>
    </row>
    <row r="874">
      <c r="N874" s="2"/>
    </row>
    <row r="875">
      <c r="N875" s="2"/>
    </row>
    <row r="876">
      <c r="N876" s="2"/>
    </row>
    <row r="877">
      <c r="N877" s="2"/>
    </row>
    <row r="878">
      <c r="N878" s="2"/>
    </row>
    <row r="879">
      <c r="N879" s="2"/>
    </row>
    <row r="880">
      <c r="N880" s="2"/>
    </row>
    <row r="881">
      <c r="N881" s="2"/>
    </row>
    <row r="882">
      <c r="N882" s="2"/>
    </row>
    <row r="883">
      <c r="N883" s="2"/>
    </row>
    <row r="884">
      <c r="N884" s="2"/>
    </row>
    <row r="885">
      <c r="N885" s="2"/>
    </row>
    <row r="886">
      <c r="N886" s="2"/>
    </row>
    <row r="887">
      <c r="N887" s="2"/>
    </row>
    <row r="888">
      <c r="N888" s="2"/>
    </row>
    <row r="889">
      <c r="N889" s="2"/>
    </row>
    <row r="890">
      <c r="N890" s="2"/>
    </row>
    <row r="891">
      <c r="N891" s="2"/>
    </row>
    <row r="892">
      <c r="N892" s="2"/>
    </row>
    <row r="893">
      <c r="N893" s="2"/>
    </row>
    <row r="894">
      <c r="N894" s="2"/>
    </row>
    <row r="895">
      <c r="N895" s="2"/>
    </row>
    <row r="896">
      <c r="N896" s="2"/>
    </row>
    <row r="897">
      <c r="N897" s="2"/>
    </row>
    <row r="898">
      <c r="N898" s="2"/>
    </row>
    <row r="899">
      <c r="N899" s="2"/>
    </row>
    <row r="900">
      <c r="N900" s="2"/>
    </row>
    <row r="901">
      <c r="N901" s="2"/>
    </row>
    <row r="902">
      <c r="N902" s="2"/>
    </row>
    <row r="903">
      <c r="N903" s="2"/>
    </row>
    <row r="904">
      <c r="N904" s="2"/>
    </row>
    <row r="905">
      <c r="N905" s="2"/>
    </row>
    <row r="906">
      <c r="N906" s="2"/>
    </row>
    <row r="907">
      <c r="N907" s="2"/>
    </row>
    <row r="908">
      <c r="N908" s="2"/>
    </row>
    <row r="909">
      <c r="N909" s="2"/>
    </row>
    <row r="910">
      <c r="N910" s="2"/>
    </row>
    <row r="911">
      <c r="N911" s="2"/>
    </row>
    <row r="912">
      <c r="N912" s="2"/>
    </row>
    <row r="913">
      <c r="N913" s="2"/>
    </row>
    <row r="914">
      <c r="N914" s="2"/>
    </row>
    <row r="915">
      <c r="N915" s="2"/>
    </row>
    <row r="916">
      <c r="N916" s="2"/>
    </row>
    <row r="917">
      <c r="N917" s="2"/>
    </row>
    <row r="918">
      <c r="N918" s="2"/>
    </row>
    <row r="919">
      <c r="N919" s="2"/>
    </row>
    <row r="920">
      <c r="N920" s="2"/>
    </row>
    <row r="921">
      <c r="N921" s="2"/>
    </row>
    <row r="922">
      <c r="N922" s="2"/>
    </row>
    <row r="923">
      <c r="N923" s="2"/>
    </row>
    <row r="924">
      <c r="N924" s="2"/>
    </row>
    <row r="925">
      <c r="N925" s="2"/>
    </row>
    <row r="926">
      <c r="N926" s="2"/>
    </row>
    <row r="927">
      <c r="N927" s="2"/>
    </row>
    <row r="928">
      <c r="N928" s="2"/>
    </row>
    <row r="929">
      <c r="N929" s="2"/>
    </row>
    <row r="930">
      <c r="N930" s="2"/>
    </row>
    <row r="931">
      <c r="N931" s="2"/>
    </row>
    <row r="932">
      <c r="N932" s="2"/>
    </row>
    <row r="933">
      <c r="N933" s="2"/>
    </row>
    <row r="934">
      <c r="N934" s="2"/>
    </row>
    <row r="935">
      <c r="N935" s="2"/>
    </row>
    <row r="936">
      <c r="N936" s="2"/>
    </row>
    <row r="937">
      <c r="N937" s="2"/>
    </row>
    <row r="938">
      <c r="N938" s="2"/>
    </row>
    <row r="939">
      <c r="N939" s="2"/>
    </row>
    <row r="940">
      <c r="N940" s="2"/>
    </row>
    <row r="941">
      <c r="N941" s="2"/>
    </row>
    <row r="942">
      <c r="N942" s="2"/>
    </row>
    <row r="943">
      <c r="N943" s="2"/>
    </row>
    <row r="944">
      <c r="N944" s="2"/>
    </row>
    <row r="945">
      <c r="N945" s="2"/>
    </row>
    <row r="946">
      <c r="N946" s="2"/>
    </row>
    <row r="947">
      <c r="N947" s="2"/>
    </row>
    <row r="948">
      <c r="N948" s="2"/>
    </row>
    <row r="949">
      <c r="N949" s="2"/>
    </row>
    <row r="950">
      <c r="N950" s="2"/>
    </row>
    <row r="951">
      <c r="N951" s="2"/>
    </row>
    <row r="952">
      <c r="N952" s="2"/>
    </row>
    <row r="953">
      <c r="N953" s="2"/>
    </row>
    <row r="954">
      <c r="N954" s="2"/>
    </row>
    <row r="955">
      <c r="N955" s="2"/>
    </row>
    <row r="956">
      <c r="N956" s="2"/>
    </row>
    <row r="957">
      <c r="N957" s="2"/>
    </row>
    <row r="958">
      <c r="N958" s="2"/>
    </row>
    <row r="959">
      <c r="N959" s="2"/>
    </row>
    <row r="960">
      <c r="N960" s="2"/>
    </row>
    <row r="961">
      <c r="N961" s="2"/>
    </row>
    <row r="962">
      <c r="N962" s="2"/>
    </row>
    <row r="963">
      <c r="N963" s="2"/>
    </row>
    <row r="964">
      <c r="N964" s="2"/>
    </row>
    <row r="965">
      <c r="N965" s="2"/>
    </row>
    <row r="966">
      <c r="N966" s="2"/>
    </row>
    <row r="967">
      <c r="N967" s="2"/>
    </row>
    <row r="968">
      <c r="N968" s="2"/>
    </row>
    <row r="969">
      <c r="N969" s="2"/>
    </row>
    <row r="970">
      <c r="N970" s="2"/>
    </row>
    <row r="971">
      <c r="N971" s="2"/>
    </row>
    <row r="972">
      <c r="N972" s="2"/>
    </row>
    <row r="973">
      <c r="N973" s="2"/>
    </row>
    <row r="974">
      <c r="N974" s="2"/>
    </row>
    <row r="975">
      <c r="N975" s="2"/>
    </row>
    <row r="976">
      <c r="N976" s="2"/>
    </row>
    <row r="977">
      <c r="N977" s="2"/>
    </row>
    <row r="978">
      <c r="N978" s="2"/>
    </row>
    <row r="979">
      <c r="N979" s="2"/>
    </row>
    <row r="980">
      <c r="N980" s="2"/>
    </row>
    <row r="981">
      <c r="N981" s="2"/>
    </row>
    <row r="982">
      <c r="N982" s="2"/>
    </row>
    <row r="983">
      <c r="N983" s="2"/>
    </row>
    <row r="984">
      <c r="N984" s="2"/>
    </row>
    <row r="985">
      <c r="N985" s="2"/>
    </row>
    <row r="986">
      <c r="N986" s="2"/>
    </row>
    <row r="987">
      <c r="N987" s="2"/>
    </row>
    <row r="988">
      <c r="N988" s="2"/>
    </row>
    <row r="989">
      <c r="N989" s="2"/>
    </row>
    <row r="990">
      <c r="N990" s="2"/>
    </row>
    <row r="991">
      <c r="N991" s="2"/>
    </row>
    <row r="992">
      <c r="N992" s="2"/>
    </row>
    <row r="993">
      <c r="N993" s="2"/>
    </row>
    <row r="994">
      <c r="N994" s="2"/>
    </row>
    <row r="995">
      <c r="N995" s="2"/>
    </row>
    <row r="996">
      <c r="N996" s="2"/>
    </row>
    <row r="997">
      <c r="N997" s="2"/>
    </row>
    <row r="998">
      <c r="N998" s="2"/>
    </row>
    <row r="999">
      <c r="N999" s="2"/>
    </row>
    <row r="1000">
      <c r="N1000" s="2"/>
    </row>
    <row r="1001">
      <c r="N1001" s="2"/>
    </row>
  </sheetData>
  <dataValidations>
    <dataValidation type="list" allowBlank="1" showErrorMessage="1" sqref="A2:A30">
      <formula1>"Designer,Permitting,PM,Operational"</formula1>
    </dataValidation>
  </dataValidations>
  <hyperlinks>
    <hyperlink r:id="rId1" ref="C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103</v>
      </c>
      <c r="B1" s="8" t="s">
        <v>104</v>
      </c>
    </row>
    <row r="2">
      <c r="A2" s="2" t="s">
        <v>105</v>
      </c>
      <c r="B2" s="2" t="s">
        <v>106</v>
      </c>
    </row>
    <row r="3">
      <c r="A3" s="2" t="s">
        <v>105</v>
      </c>
      <c r="B3" s="2" t="s">
        <v>107</v>
      </c>
    </row>
    <row r="4">
      <c r="A4" s="2" t="s">
        <v>105</v>
      </c>
      <c r="B4" s="2" t="s">
        <v>108</v>
      </c>
    </row>
    <row r="5">
      <c r="A5" s="2" t="s">
        <v>105</v>
      </c>
      <c r="B5" s="2" t="s">
        <v>109</v>
      </c>
    </row>
    <row r="6">
      <c r="A6" s="2" t="s">
        <v>110</v>
      </c>
      <c r="B6" s="2" t="s">
        <v>111</v>
      </c>
    </row>
    <row r="7">
      <c r="A7" s="2" t="s">
        <v>110</v>
      </c>
      <c r="B7" s="2" t="s">
        <v>112</v>
      </c>
    </row>
    <row r="8">
      <c r="A8" s="2" t="s">
        <v>113</v>
      </c>
      <c r="B8" s="2" t="s">
        <v>114</v>
      </c>
    </row>
    <row r="9">
      <c r="A9" s="2" t="s">
        <v>115</v>
      </c>
      <c r="B9" s="2" t="s">
        <v>116</v>
      </c>
    </row>
    <row r="10">
      <c r="A10" s="2" t="s">
        <v>117</v>
      </c>
      <c r="B10" s="2" t="s">
        <v>118</v>
      </c>
    </row>
    <row r="11">
      <c r="A11" s="2" t="s">
        <v>119</v>
      </c>
      <c r="B11" s="2" t="s">
        <v>120</v>
      </c>
    </row>
    <row r="12">
      <c r="A12" s="2" t="s">
        <v>121</v>
      </c>
      <c r="B12" s="2" t="s">
        <v>122</v>
      </c>
    </row>
    <row r="13">
      <c r="A13" s="2" t="s">
        <v>123</v>
      </c>
      <c r="B13" s="2" t="s">
        <v>124</v>
      </c>
    </row>
    <row r="14">
      <c r="A14" s="2" t="s">
        <v>115</v>
      </c>
      <c r="B14" s="2" t="s">
        <v>125</v>
      </c>
    </row>
    <row r="15">
      <c r="A15" s="2" t="s">
        <v>115</v>
      </c>
      <c r="B15" s="2" t="s">
        <v>126</v>
      </c>
    </row>
    <row r="16">
      <c r="A16" s="2" t="s">
        <v>127</v>
      </c>
      <c r="B16" s="2" t="s">
        <v>128</v>
      </c>
    </row>
    <row r="17">
      <c r="A17" s="2" t="s">
        <v>119</v>
      </c>
      <c r="B17" s="2" t="s">
        <v>129</v>
      </c>
    </row>
    <row r="18">
      <c r="A18" s="2" t="s">
        <v>115</v>
      </c>
      <c r="B18" s="2" t="s">
        <v>130</v>
      </c>
    </row>
    <row r="19">
      <c r="A19" s="2" t="s">
        <v>123</v>
      </c>
      <c r="B19" s="2" t="s">
        <v>131</v>
      </c>
    </row>
    <row r="20">
      <c r="A20" s="2" t="s">
        <v>115</v>
      </c>
      <c r="B20" s="2" t="s">
        <v>132</v>
      </c>
    </row>
    <row r="21">
      <c r="A21" s="2" t="s">
        <v>127</v>
      </c>
      <c r="B21" s="2" t="s">
        <v>133</v>
      </c>
    </row>
    <row r="22">
      <c r="A22" s="2" t="s">
        <v>119</v>
      </c>
      <c r="B22" s="2" t="s">
        <v>134</v>
      </c>
    </row>
    <row r="23">
      <c r="A23" s="2" t="s">
        <v>135</v>
      </c>
      <c r="B23" s="2" t="s">
        <v>136</v>
      </c>
    </row>
    <row r="24">
      <c r="A24" s="2" t="s">
        <v>135</v>
      </c>
      <c r="B24" s="2" t="s">
        <v>137</v>
      </c>
    </row>
    <row r="25">
      <c r="A25" s="2" t="s">
        <v>135</v>
      </c>
      <c r="B25" s="2" t="s">
        <v>138</v>
      </c>
    </row>
    <row r="26">
      <c r="A26" s="2" t="s">
        <v>135</v>
      </c>
      <c r="B26" s="2" t="s">
        <v>139</v>
      </c>
    </row>
    <row r="27">
      <c r="A27" s="2" t="s">
        <v>140</v>
      </c>
      <c r="B27" s="2" t="s">
        <v>141</v>
      </c>
    </row>
  </sheetData>
  <drawing r:id="rId1"/>
</worksheet>
</file>